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Dashboard" sheetId="1" state="visible" r:id="rId1"/>
    <sheet xmlns:r="http://schemas.openxmlformats.org/officeDocument/2006/relationships" name="01_Verification_Status" sheetId="2" state="visible" r:id="rId2"/>
  </sheets>
  <definedNames>
    <definedName name="_xlnm._FilterDatabase" localSheetId="1" hidden="1">'01_Verification_Status'!$A$4:$G$10</definedName>
    <definedName name="_xlnm.Print_Area" localSheetId="1">'01_Verification_Status'!$A$1:$G$21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Carlito"/>
      <color rgb="FF000000"/>
      <sz val="11"/>
      <scheme val="minor"/>
    </font>
    <font>
      <name val="Carlito"/>
      <b val="1"/>
      <color rgb="FFFFFFFF"/>
      <sz val="16"/>
    </font>
    <font/>
    <font>
      <name val="Carlito"/>
      <b val="1"/>
      <i val="1"/>
      <color rgb="FF1F1F1F"/>
      <sz val="10"/>
    </font>
    <font>
      <name val="Carlito"/>
      <i val="1"/>
      <color rgb="FF1F1F1F"/>
      <sz val="10"/>
    </font>
    <font>
      <name val="Carlito"/>
      <b val="1"/>
      <color rgb="FFFFFFFF"/>
      <sz val="11"/>
    </font>
    <font>
      <name val="Carlito"/>
      <color theme="1"/>
      <scheme val="minor"/>
    </font>
    <font>
      <name val="Carlito"/>
      <color theme="1"/>
      <sz val="11"/>
    </font>
    <font>
      <name val="Carlito"/>
      <color rgb="FF1F1F1F"/>
      <sz val="11"/>
    </font>
    <font>
      <name val="Carlito"/>
      <color rgb="FFC00000"/>
      <sz val="11"/>
    </font>
    <font>
      <name val="Carlito"/>
      <color theme="1"/>
      <sz val="10"/>
    </font>
    <font>
      <name val="Carlito"/>
      <color theme="1"/>
      <sz val="9"/>
    </font>
    <font>
      <name val="Aptos Display"/>
      <b val="1"/>
      <color rgb="FFFFFFFF"/>
      <sz val="16"/>
    </font>
    <font>
      <name val="Aptos"/>
      <i val="1"/>
      <color rgb="FF1F1F1F"/>
      <sz val="10"/>
    </font>
    <font>
      <name val="Aptos"/>
      <b val="1"/>
      <color rgb="FFFFFFFF"/>
      <sz val="10"/>
    </font>
    <font>
      <name val="Aptos"/>
      <color rgb="FF1F1F1F"/>
      <sz val="9"/>
    </font>
    <font>
      <name val="Aptos"/>
      <b val="1"/>
      <color rgb="FF1F1F1F"/>
      <sz val="9"/>
    </font>
    <font>
      <name val="Aptos"/>
      <b val="1"/>
      <color rgb="FFC00000"/>
      <sz val="9"/>
    </font>
    <font>
      <name val="Aptos"/>
      <b val="1"/>
      <color rgb="FFFFFFFF"/>
      <sz val="11"/>
    </font>
    <font>
      <name val="Aptos"/>
      <b val="1"/>
      <color rgb="FFC00000"/>
      <sz val="10"/>
    </font>
  </fonts>
  <fills count="19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1F4E79"/>
        <bgColor rgb="FF1F4E79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F4CCCC"/>
        <bgColor rgb="FFF4CCCC"/>
      </patternFill>
    </fill>
    <fill>
      <patternFill patternType="solid">
        <fgColor rgb="FFD9E1F2"/>
        <bgColor rgb="FFD9E1F2"/>
      </patternFill>
    </fill>
    <fill>
      <patternFill patternType="solid">
        <fgColor rgb="FF595959"/>
        <bgColor rgb="FF59595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9595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6E0B4"/>
      </patternFill>
    </fill>
    <fill>
      <patternFill patternType="solid">
        <fgColor rgb="FFF4CCCC"/>
      </patternFill>
    </fill>
    <fill>
      <patternFill patternType="solid">
        <fgColor rgb="FFFFE69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1" fillId="2" borderId="4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/>
    </xf>
    <xf numFmtId="0" fontId="6" fillId="0" borderId="0" pivotButton="0" quotePrefix="0" xfId="0"/>
    <xf numFmtId="9" fontId="7" fillId="0" borderId="0" pivotButton="0" quotePrefix="0" xfId="0"/>
    <xf numFmtId="0" fontId="8" fillId="5" borderId="4" pivotButton="0" quotePrefix="0" xfId="0"/>
    <xf numFmtId="0" fontId="8" fillId="6" borderId="4" pivotButton="0" quotePrefix="0" xfId="0"/>
    <xf numFmtId="0" fontId="8" fillId="7" borderId="4" pivotButton="0" quotePrefix="0" xfId="0"/>
    <xf numFmtId="1" fontId="7" fillId="0" borderId="0" pivotButton="0" quotePrefix="0" xfId="0"/>
    <xf numFmtId="0" fontId="9" fillId="8" borderId="4" pivotButton="0" quotePrefix="0" xfId="0"/>
    <xf numFmtId="0" fontId="8" fillId="9" borderId="4" pivotButton="0" quotePrefix="0" xfId="0"/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0" fontId="5" fillId="1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9" fontId="7" fillId="0" borderId="0" applyAlignment="1" pivotButton="0" quotePrefix="0" xfId="0">
      <alignment wrapText="1"/>
    </xf>
    <xf numFmtId="0" fontId="8" fillId="5" borderId="4" applyAlignment="1" pivotButton="0" quotePrefix="0" xfId="0">
      <alignment horizontal="left" wrapText="1"/>
    </xf>
    <xf numFmtId="0" fontId="11" fillId="0" borderId="0" applyAlignment="1" pivotButton="0" quotePrefix="0" xfId="0">
      <alignment wrapText="1"/>
    </xf>
    <xf numFmtId="0" fontId="8" fillId="7" borderId="4" applyAlignment="1" pivotButton="0" quotePrefix="0" xfId="0">
      <alignment horizontal="left" wrapText="1"/>
    </xf>
    <xf numFmtId="0" fontId="8" fillId="6" borderId="4" applyAlignment="1" pivotButton="0" quotePrefix="0" xfId="0">
      <alignment horizontal="left" wrapText="1"/>
    </xf>
    <xf numFmtId="0" fontId="8" fillId="9" borderId="4" applyAlignment="1" pivotButton="0" quotePrefix="0" xfId="0">
      <alignment horizontal="left" wrapText="1"/>
    </xf>
    <xf numFmtId="0" fontId="9" fillId="8" borderId="4" applyAlignment="1" pivotButton="0" quotePrefix="0" xfId="0">
      <alignment horizontal="left" wrapText="1"/>
    </xf>
    <xf numFmtId="0" fontId="0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 vertical="center" wrapText="1"/>
    </xf>
    <xf numFmtId="0" fontId="14" fillId="13" borderId="5" applyAlignment="1" pivotButton="0" quotePrefix="0" xfId="0">
      <alignment horizontal="center" vertical="center" wrapText="1"/>
    </xf>
    <xf numFmtId="0" fontId="15" fillId="14" borderId="5" applyAlignment="1" pivotButton="0" quotePrefix="0" xfId="0">
      <alignment vertical="top" wrapText="1"/>
    </xf>
    <xf numFmtId="0" fontId="16" fillId="16" borderId="5" applyAlignment="1" pivotButton="0" quotePrefix="0" xfId="0">
      <alignment horizontal="center" vertical="center" wrapText="1"/>
    </xf>
    <xf numFmtId="0" fontId="15" fillId="15" borderId="5" applyAlignment="1" pivotButton="0" quotePrefix="0" xfId="0">
      <alignment vertical="top" wrapText="1"/>
    </xf>
    <xf numFmtId="0" fontId="17" fillId="17" borderId="5" applyAlignment="1" pivotButton="0" quotePrefix="0" xfId="0">
      <alignment horizontal="center" vertical="center" wrapText="1"/>
    </xf>
    <xf numFmtId="0" fontId="16" fillId="18" borderId="5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left" vertical="center"/>
    </xf>
    <xf numFmtId="0" fontId="19" fillId="17" borderId="0" applyAlignment="1" pivotButton="0" quotePrefix="0" xfId="0">
      <alignment vertical="center" wrapText="1"/>
    </xf>
  </cellXfs>
  <cellStyles count="1">
    <cellStyle name="Normal" xfId="0" builtinId="0"/>
  </cellStyles>
  <dxfs count="9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 val="1"/>
      </font>
      <fill>
        <patternFill patternType="solid">
          <fgColor rgb="FFB6D7A8"/>
          <bgColor rgb="FFB6D7A8"/>
        </patternFill>
      </fill>
      <border/>
    </dxf>
    <dxf>
      <font>
        <b val="1"/>
      </font>
      <fill>
        <patternFill patternType="solid">
          <fgColor rgb="FFFFE599"/>
          <bgColor rgb="FFFFE599"/>
        </patternFill>
      </fill>
      <border/>
    </dxf>
    <dxf>
      <font>
        <b val="1"/>
      </font>
      <fill>
        <patternFill patternType="solid">
          <fgColor rgb="FFCFE2F3"/>
          <bgColor rgb="FFCFE2F3"/>
        </patternFill>
      </fill>
      <border/>
    </dxf>
    <dxf>
      <font>
        <b val="1"/>
        <color rgb="FF99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1" defaultTableStyle="TableStyleMedium9" defaultPivotStyle="PivotStyleLight16">
    <tableStyle name="00_Dashboard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1" displayName="Table_1" ref="A13:G27" headerRowCount="1">
  <tableColumns count="7">
    <tableColumn id="1" name="Hierarchy level"/>
    <tableColumn id="2" name="Cell / deliverable"/>
    <tableColumn id="3" name="Schematic-level design+sims"/>
    <tableColumn id="4" name="Layout"/>
    <tableColumn id="5" name="Post-layout sims"/>
    <tableColumn id="6" name="Status"/>
    <tableColumn id="7" name="Main evidence / open issue"/>
  </tableColumns>
  <tableStyleInfo name="00_Dashboard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zoomScale="80" workbookViewId="0">
      <pane ySplit="13" topLeftCell="A14" activePane="bottomLeft" state="frozen"/>
      <selection pane="bottomLeft" activeCell="A1" sqref="A1"/>
    </sheetView>
  </sheetViews>
  <sheetFormatPr baseColWidth="8" defaultColWidth="12.63" defaultRowHeight="15" customHeight="1"/>
  <cols>
    <col width="24.63" customWidth="1" style="28" min="1" max="1"/>
    <col width="45" customWidth="1" style="28" min="2" max="2"/>
    <col width="19" customWidth="1" style="28" min="3" max="3"/>
    <col width="18" customWidth="1" style="28" min="4" max="4"/>
    <col width="19" customWidth="1" style="28" min="5" max="6"/>
    <col width="96" customWidth="1" style="28" min="7" max="7"/>
    <col width="8.630000000000001" customWidth="1" style="28" min="8" max="8"/>
    <col width="16" customWidth="1" style="28" min="9" max="9"/>
    <col width="8.630000000000001" customWidth="1" style="28" min="10" max="26"/>
  </cols>
  <sheetData>
    <row r="1" ht="24" customHeight="1" s="28">
      <c r="A1" s="4" t="inlineStr">
        <is>
          <t>A44 SAR ADC Project Tracker - Progress Tracking</t>
        </is>
      </c>
      <c r="H1" s="4" t="n"/>
      <c r="I1" s="4" t="n"/>
    </row>
    <row r="2" ht="34" customHeight="1" s="28">
      <c r="A2" s="29" t="inlineStr">
        <is>
          <t>Updated 2026-07-28 from the audited A44 R2 circuit/simulation package. PASS basis: FULL255 uses only Seed 44 TT; PVT is diagnostic-only.</t>
        </is>
      </c>
      <c r="H2" s="6" t="n"/>
      <c r="I2" s="6" t="n"/>
    </row>
    <row r="3" ht="13.5" customHeight="1" s="28"/>
    <row r="4" ht="13.5" customHeight="1" s="28">
      <c r="D4" s="7" t="inlineStr">
        <is>
          <t>Rollup</t>
        </is>
      </c>
      <c r="E4" s="7" t="inlineStr">
        <is>
          <t>Value</t>
        </is>
      </c>
      <c r="G4" s="7" t="inlineStr">
        <is>
          <t>Legend</t>
        </is>
      </c>
    </row>
    <row r="5" ht="13.5" customHeight="1" s="28">
      <c r="D5" s="8" t="inlineStr">
        <is>
          <t>Avg schematic progress</t>
        </is>
      </c>
      <c r="E5" s="9">
        <f>AVERAGE(C14:C27)</f>
        <v/>
      </c>
      <c r="G5" s="10" t="inlineStr">
        <is>
          <t>Done</t>
        </is>
      </c>
    </row>
    <row r="6" ht="13.5" customHeight="1" s="28">
      <c r="D6" s="8" t="inlineStr">
        <is>
          <t>Avg layout progress</t>
        </is>
      </c>
      <c r="E6" s="9">
        <f>AVERAGE(D14:D27)</f>
        <v/>
      </c>
      <c r="G6" s="11" t="inlineStr">
        <is>
          <t>In progress</t>
        </is>
      </c>
    </row>
    <row r="7" ht="13.5" customHeight="1" s="28">
      <c r="D7" s="8" t="inlineStr">
        <is>
          <t>Avg post-layout progress</t>
        </is>
      </c>
      <c r="E7" s="9">
        <f>AVERAGE(E14:E27)</f>
        <v/>
      </c>
      <c r="G7" s="12" t="inlineStr">
        <is>
          <t>In review</t>
        </is>
      </c>
    </row>
    <row r="8" ht="13.5" customHeight="1" s="28">
      <c r="D8" s="8" t="inlineStr">
        <is>
          <t>Done items</t>
        </is>
      </c>
      <c r="E8" s="13">
        <f>COUNTIF(F14:F27,"Done")</f>
        <v/>
      </c>
      <c r="G8" s="14" t="inlineStr">
        <is>
          <t>Blocked</t>
        </is>
      </c>
    </row>
    <row r="9" ht="13.5" customHeight="1" s="28">
      <c r="D9" s="8" t="inlineStr">
        <is>
          <t>In progress / planned</t>
        </is>
      </c>
      <c r="E9" s="13">
        <f>COUNTIF(F14:F27,"In progress")+COUNTIF(F14:F27,"Planned")</f>
        <v/>
      </c>
      <c r="G9" s="15" t="inlineStr">
        <is>
          <t>Planned</t>
        </is>
      </c>
    </row>
    <row r="10" ht="13.5" customHeight="1" s="28">
      <c r="D10" s="8" t="inlineStr">
        <is>
          <t>In review</t>
        </is>
      </c>
      <c r="E10" s="13">
        <f>COUNTIF(F14:F27,"In review")</f>
        <v/>
      </c>
    </row>
    <row r="11" ht="13.5" customHeight="1" s="28">
      <c r="D11" s="16" t="inlineStr">
        <is>
          <t>Blocked</t>
        </is>
      </c>
      <c r="E11" s="17">
        <f>COUNTIF(F14:F27,"Blocked")</f>
        <v/>
      </c>
    </row>
    <row r="12" ht="13.5" customHeight="1" s="28"/>
    <row r="13" ht="13.5" customHeight="1" s="28">
      <c r="A13" s="18" t="inlineStr">
        <is>
          <t>Hierarchy level</t>
        </is>
      </c>
      <c r="B13" s="18" t="inlineStr">
        <is>
          <t>Cell / deliverable</t>
        </is>
      </c>
      <c r="C13" s="18" t="inlineStr">
        <is>
          <t>Schematic-level design+sims</t>
        </is>
      </c>
      <c r="D13" s="18" t="inlineStr">
        <is>
          <t>Layout</t>
        </is>
      </c>
      <c r="E13" s="18" t="inlineStr">
        <is>
          <t>Post-layout sims</t>
        </is>
      </c>
      <c r="F13" s="18" t="inlineStr">
        <is>
          <t>Status</t>
        </is>
      </c>
      <c r="G13" s="18" t="inlineStr">
        <is>
          <t>Main evidence / open issue</t>
        </is>
      </c>
    </row>
    <row r="14" ht="54" customHeight="1" s="28">
      <c r="A14" s="19" t="inlineStr">
        <is>
          <t>0</t>
        </is>
      </c>
      <c r="B14" s="20" t="inlineStr">
        <is>
          <t>Project objective + frozen performance targets</t>
        </is>
      </c>
      <c r="C14" s="21" t="n">
        <v>1</v>
      </c>
      <c r="D14" s="21" t="n"/>
      <c r="E14" s="21" t="n"/>
      <c r="F14" s="22" t="inlineStr">
        <is>
          <t>Done</t>
        </is>
      </c>
      <c r="G14" s="23" t="inlineStr">
        <is>
          <t>Frozen targets: 8-bit, 2 MS/s, 3.3 V fully differential GF180MCU SAR ADC; SNDR &gt;= 44 dB, ENOB &gt;= 7 bit, |DNL| &lt; 1 LSB, |INL| &lt; 1.5 LSB, zero missing codes and zero reversals for the governing static case.</t>
        </is>
      </c>
    </row>
    <row r="15" ht="54" customHeight="1" s="28">
      <c r="A15" s="19" t="inlineStr">
        <is>
          <t>0</t>
        </is>
      </c>
      <c r="B15" s="20" t="inlineStr">
        <is>
          <t>External functional interface</t>
        </is>
      </c>
      <c r="C15" s="21" t="n">
        <v>1</v>
      </c>
      <c r="D15" s="21" t="n"/>
      <c r="E15" s="21" t="n"/>
      <c r="F15" s="22" t="inlineStr">
        <is>
          <t>Done</t>
        </is>
      </c>
      <c r="G15" s="23" t="inlineStr">
        <is>
          <t>Frozen normal interface: VDD, GND, VREFP, VREFN, VINP, VINN, CLKS and DOUT[7:0]; no normal READY, CONVST, VCM, CLKC or SAR_CLK.</t>
        </is>
      </c>
    </row>
    <row r="16" ht="54" customHeight="1" s="28">
      <c r="A16" s="19" t="inlineStr">
        <is>
          <t>0</t>
        </is>
      </c>
      <c r="B16" s="20" t="inlineStr">
        <is>
          <t>IDEAL SAR ADC golden functional reference</t>
        </is>
      </c>
      <c r="C16" s="21" t="n">
        <v>1</v>
      </c>
      <c r="D16" s="21" t="n"/>
      <c r="E16" s="21" t="n"/>
      <c r="F16" s="22" t="inlineStr">
        <is>
          <t>Done</t>
        </is>
      </c>
      <c r="G16" s="23" t="inlineStr">
        <is>
          <t>Unified S4/S5 golden waveforms define correct sampling ownership, 8 CMPCK pulses, one-hot DCMP, D7→D0 decisions, 7 CDAC updates, residue settling and DOUT hold/update behavior.</t>
        </is>
      </c>
    </row>
    <row r="17" ht="78" customHeight="1" s="28">
      <c r="A17" s="19" t="inlineStr">
        <is>
          <t>1</t>
        </is>
      </c>
      <c r="B17" s="20" t="inlineStr">
        <is>
          <t>StrongARM comparator</t>
        </is>
      </c>
      <c r="C17" s="21" t="n">
        <v>1</v>
      </c>
      <c r="D17" s="21" t="n">
        <v>0</v>
      </c>
      <c r="E17" s="21" t="n">
        <v>0</v>
      </c>
      <c r="F17" s="22" t="inlineStr">
        <is>
          <t>Done</t>
        </is>
      </c>
      <c r="G17" s="23" t="inlineStr">
        <is>
          <t>Current resized StrongARM .sch/.sym and extracted subcircuit are frozen in the R2 package. Schematic/source binding is audited; layout/PEX qualification is not claimed. Integrated performance is governed by rows 23 and 24.</t>
        </is>
      </c>
    </row>
    <row r="18" ht="54" customHeight="1" s="28">
      <c r="A18" s="19" t="inlineStr">
        <is>
          <t>1</t>
        </is>
      </c>
      <c r="B18" s="20" t="inlineStr">
        <is>
          <t>Bootstrap sampling switch</t>
        </is>
      </c>
      <c r="C18" s="21" t="n">
        <v>1</v>
      </c>
      <c r="D18" s="21" t="n">
        <v>0</v>
      </c>
      <c r="E18" s="21" t="n">
        <v>0</v>
      </c>
      <c r="F18" s="22" t="inlineStr">
        <is>
          <t>Done</t>
        </is>
      </c>
      <c r="G18" s="23" t="inlineStr">
        <is>
          <t>Bootstrapped sampling path is verified in the actual CDAC behavior path and in integrated TOP operation.</t>
        </is>
      </c>
    </row>
    <row r="19" ht="54" customHeight="1" s="28">
      <c r="A19" s="19" t="inlineStr">
        <is>
          <t>1</t>
        </is>
      </c>
      <c r="B19" s="20" t="inlineStr">
        <is>
          <t>CDAC + bi-directional switching</t>
        </is>
      </c>
      <c r="C19" s="21" t="n">
        <v>1</v>
      </c>
      <c r="D19" s="21" t="n">
        <v>0</v>
      </c>
      <c r="E19" s="21" t="n">
        <v>0</v>
      </c>
      <c r="F19" s="22" t="inlineStr">
        <is>
          <t>Done</t>
        </is>
      </c>
      <c r="G19" s="23" t="inlineStr">
        <is>
          <t>Active-low P/N selector order, bit-by-bit residue progression and S4/S5 behavior verified; around-zero S6 bounds the 127→128 transition to 0–0.25 LSB.</t>
        </is>
      </c>
    </row>
    <row r="20" ht="78" customHeight="1" s="28">
      <c r="A20" s="19" t="inlineStr">
        <is>
          <t>1</t>
        </is>
      </c>
      <c r="B20" s="20" t="inlineStr">
        <is>
          <t>Asynchronous SAR logic actual RTL / Magic PEX wrapper</t>
        </is>
      </c>
      <c r="C20" s="21" t="n">
        <v>1</v>
      </c>
      <c r="D20" s="21" t="n">
        <v>1</v>
      </c>
      <c r="E20" s="21" t="n">
        <v>0.85</v>
      </c>
      <c r="F20" s="24" t="inlineStr">
        <is>
          <t>In review</t>
        </is>
      </c>
      <c r="G20" s="23" t="inlineStr">
        <is>
          <t>Actual asynchronous RTL and the accepted SS Magic PEX core/wrapper are bound into the current TOP. Deterministic 8-decision/7-update behavior is established, but this is not full-PVT or tapeout signoff.</t>
        </is>
      </c>
    </row>
    <row r="21" ht="54" customHeight="1" s="28">
      <c r="A21" s="19" t="inlineStr">
        <is>
          <t>2</t>
        </is>
      </c>
      <c r="B21" s="20" t="inlineStr">
        <is>
          <t>SAR_ADC_TOP closed-loop integration</t>
        </is>
      </c>
      <c r="C21" s="21" t="n">
        <v>1</v>
      </c>
      <c r="D21" s="21" t="n">
        <v>0</v>
      </c>
      <c r="E21" s="21" t="n">
        <v>0</v>
      </c>
      <c r="F21" s="22" t="inlineStr">
        <is>
          <t>Done</t>
        </is>
      </c>
      <c r="G21" s="23" t="inlineStr">
        <is>
          <t>Actual comparator, CDACs and SAR-logic wrapper are assembled in the closed-loop TOP; the unified R6 load wrapper is used for PVT waveform tests.</t>
        </is>
      </c>
    </row>
    <row r="22" ht="78" customHeight="1" s="28">
      <c r="A22" s="19" t="inlineStr">
        <is>
          <t>2</t>
        </is>
      </c>
      <c r="B22" s="20" t="inlineStr">
        <is>
          <t>TOP RC load and PVT diagnostic execution</t>
        </is>
      </c>
      <c r="C22" s="21" t="n">
        <v>1</v>
      </c>
      <c r="D22" s="21" t="n">
        <v>0</v>
      </c>
      <c r="E22" s="21" t="n">
        <v>0</v>
      </c>
      <c r="F22" s="22" t="inlineStr">
        <is>
          <t>Done</t>
        </is>
      </c>
      <c r="G22" s="23" t="inlineStr">
        <is>
          <t>PVT3 selected MC20 LOW/W4 completed 60/60: TT 19/20, SS 20/20, FF 20/20 hard-dynamic PASS. This population is diagnostic-only and is not a performance PASS, yield, promotion, or signoff basis.</t>
        </is>
      </c>
    </row>
    <row r="23" ht="78" customHeight="1" s="28">
      <c r="A23" s="19" t="inlineStr">
        <is>
          <t>2</t>
        </is>
      </c>
      <c r="B23" s="20" t="inlineStr">
        <is>
          <t>TOP static linearity verification</t>
        </is>
      </c>
      <c r="C23" s="21" t="n">
        <v>1</v>
      </c>
      <c r="D23" s="21" t="n">
        <v>0</v>
      </c>
      <c r="E23" s="21" t="n">
        <v>0</v>
      </c>
      <c r="F23" s="22" t="inlineStr">
        <is>
          <t>Done</t>
        </is>
      </c>
      <c r="G23" s="23" t="inlineStr">
        <is>
          <t>FULL255 static qualification PASS is based only on S044_TT: max |DNL| = 0.610351 LSB, max |INL| = 0.686645 LSB, 0 missing codes, and 0 reversals. Other TT seeds and Seed 44 SS/FF curves are diagnostic-only; PVT cannot establish or overturn PASS.</t>
        </is>
      </c>
    </row>
    <row r="24" ht="78" customHeight="1" s="28">
      <c r="A24" s="19" t="inlineStr">
        <is>
          <t>2</t>
        </is>
      </c>
      <c r="B24" s="20" t="inlineStr">
        <is>
          <t>TOP dynamic spectral verification</t>
        </is>
      </c>
      <c r="C24" s="21" t="n">
        <v>1</v>
      </c>
      <c r="D24" s="21" t="n">
        <v>0</v>
      </c>
      <c r="E24" s="21" t="n">
        <v>0</v>
      </c>
      <c r="F24" s="27" t="inlineStr">
        <is>
          <t>Blocked</t>
        </is>
      </c>
      <c r="G24" s="23" t="inlineStr">
        <is>
          <t>MC200 TT LOW/W4 execution completed 200/200: 197 hard-dynamic PASS and 3 FAIL (Seeds 65, 68, 141). SNDR P1/P5/P10/P50 = 46.8729/47.2961/47.4636/48.4065 dB. Execution is complete, but the unresolved hard failures keep performance at NO PROMOTION; PVT MC20 does not waive them.</t>
        </is>
      </c>
    </row>
    <row r="25" ht="54" customHeight="1" s="28">
      <c r="A25" s="19" t="inlineStr">
        <is>
          <t>3</t>
        </is>
      </c>
      <c r="B25" s="20" t="inlineStr">
        <is>
          <t>Die top: pads, ESD, supply/reference interface</t>
        </is>
      </c>
      <c r="C25" s="21" t="n">
        <v>0.1</v>
      </c>
      <c r="D25" s="21" t="n">
        <v>0</v>
      </c>
      <c r="E25" s="21" t="n">
        <v>0</v>
      </c>
      <c r="F25" s="26" t="inlineStr">
        <is>
          <t>Planned</t>
        </is>
      </c>
      <c r="G25" s="23" t="inlineStr">
        <is>
          <t>ADC_DIE_TOP, pad/ESD integration, supply partitioning, reference decoupling and full-chip LVS-ready hierarchy remain to be implemented.</t>
        </is>
      </c>
    </row>
    <row r="26" ht="54" customHeight="1" s="28">
      <c r="A26" s="19" t="inlineStr">
        <is>
          <t>3</t>
        </is>
      </c>
      <c r="B26" s="20" t="inlineStr">
        <is>
          <t>Package / bondwire / PCB-level testbench</t>
        </is>
      </c>
      <c r="C26" s="21" t="n">
        <v>0.25</v>
      </c>
      <c r="D26" s="21" t="n">
        <v>0</v>
      </c>
      <c r="E26" s="21" t="n">
        <v>0</v>
      </c>
      <c r="F26" s="25" t="inlineStr">
        <is>
          <t>Planned</t>
        </is>
      </c>
      <c r="G26" s="23" t="inlineStr">
        <is>
          <t>Equivalent lumped loads are defined and used for VIN, VREF, CLKS, DOUT and VDD/GND TOP tests; package, bondwire and complete PCB models remain pending.</t>
        </is>
      </c>
    </row>
    <row r="27" ht="78" customHeight="1" s="28">
      <c r="A27" s="19" t="inlineStr">
        <is>
          <t>4</t>
        </is>
      </c>
      <c r="B27" s="20" t="inlineStr">
        <is>
          <t>Full-chip signoff readiness</t>
        </is>
      </c>
      <c r="C27" s="21" t="n">
        <v>0.15</v>
      </c>
      <c r="D27" s="21" t="n">
        <v>0</v>
      </c>
      <c r="E27" s="21" t="n">
        <v>0</v>
      </c>
      <c r="F27" s="27" t="inlineStr">
        <is>
          <t>Blocked</t>
        </is>
      </c>
      <c r="G27" s="23" t="inlineStr">
        <is>
          <t>Full-chip signoff remains blocked by the three MC200 hard-dynamic failures, analog/full-chip layout, DRC/LVS/PEX, final extracted regression, and package/board closure. FULL255 S044_TT passes; PVT results remain diagnostic-only.</t>
        </is>
      </c>
    </row>
    <row r="28" ht="13.5" customHeight="1" s="28"/>
    <row r="29" ht="13.5" customHeight="1" s="28"/>
    <row r="30" ht="13.5" customHeight="1" s="28"/>
    <row r="31" ht="13.5" customHeight="1" s="28"/>
    <row r="32" ht="13.5" customHeight="1" s="28"/>
    <row r="33" ht="13.5" customHeight="1" s="28"/>
    <row r="34" ht="13.5" customHeight="1" s="28"/>
    <row r="35" ht="13.5" customHeight="1" s="28"/>
    <row r="36" ht="13.5" customHeight="1" s="28"/>
    <row r="37" ht="13.5" customHeight="1" s="28"/>
    <row r="38" ht="13.5" customHeight="1" s="28"/>
    <row r="39" ht="13.5" customHeight="1" s="28"/>
    <row r="40" ht="13.5" customHeight="1" s="28"/>
    <row r="41" ht="13.5" customHeight="1" s="28"/>
    <row r="42" ht="13.5" customHeight="1" s="28"/>
    <row r="43" ht="13.5" customHeight="1" s="28"/>
    <row r="44" ht="13.5" customHeight="1" s="28"/>
    <row r="45" ht="13.5" customHeight="1" s="28"/>
    <row r="46" ht="13.5" customHeight="1" s="28"/>
    <row r="47" ht="13.5" customHeight="1" s="28"/>
    <row r="48" ht="13.5" customHeight="1" s="28"/>
    <row r="49" ht="13.5" customHeight="1" s="28"/>
    <row r="50" ht="13.5" customHeight="1" s="28"/>
    <row r="51" ht="13.5" customHeight="1" s="28"/>
    <row r="52" ht="13.5" customHeight="1" s="28"/>
    <row r="53" ht="13.5" customHeight="1" s="28"/>
    <row r="54" ht="13.5" customHeight="1" s="28"/>
    <row r="55" ht="13.5" customHeight="1" s="28"/>
    <row r="56" ht="13.5" customHeight="1" s="28"/>
    <row r="57" ht="13.5" customHeight="1" s="28"/>
    <row r="58" ht="13.5" customHeight="1" s="28"/>
    <row r="59" ht="13.5" customHeight="1" s="28"/>
    <row r="60" ht="13.5" customHeight="1" s="28"/>
    <row r="61" ht="13.5" customHeight="1" s="28"/>
    <row r="62" ht="13.5" customHeight="1" s="28"/>
    <row r="63" ht="13.5" customHeight="1" s="28"/>
    <row r="64" ht="13.5" customHeight="1" s="28"/>
    <row r="65" ht="13.5" customHeight="1" s="28"/>
    <row r="66" ht="13.5" customHeight="1" s="28"/>
    <row r="67" ht="13.5" customHeight="1" s="28"/>
    <row r="68" ht="13.5" customHeight="1" s="28"/>
    <row r="69" ht="13.5" customHeight="1" s="28"/>
    <row r="70" ht="13.5" customHeight="1" s="28"/>
    <row r="71" ht="13.5" customHeight="1" s="28"/>
    <row r="72" ht="13.5" customHeight="1" s="28"/>
    <row r="73" ht="13.5" customHeight="1" s="28"/>
    <row r="74" ht="13.5" customHeight="1" s="28"/>
    <row r="75" ht="13.5" customHeight="1" s="28"/>
    <row r="76" ht="13.5" customHeight="1" s="28"/>
    <row r="77" ht="13.5" customHeight="1" s="28"/>
    <row r="78" ht="13.5" customHeight="1" s="28"/>
    <row r="79" ht="13.5" customHeight="1" s="28"/>
    <row r="80" ht="13.5" customHeight="1" s="28"/>
    <row r="81" ht="13.5" customHeight="1" s="28"/>
    <row r="82" ht="13.5" customHeight="1" s="28"/>
    <row r="83" ht="13.5" customHeight="1" s="28"/>
    <row r="84" ht="13.5" customHeight="1" s="28"/>
    <row r="85" ht="13.5" customHeight="1" s="28"/>
    <row r="86" ht="13.5" customHeight="1" s="28"/>
    <row r="87" ht="13.5" customHeight="1" s="28"/>
    <row r="88" ht="13.5" customHeight="1" s="28"/>
    <row r="89" ht="13.5" customHeight="1" s="28"/>
    <row r="90" ht="13.5" customHeight="1" s="28"/>
    <row r="91" ht="13.5" customHeight="1" s="28"/>
    <row r="92" ht="13.5" customHeight="1" s="28"/>
    <row r="93" ht="13.5" customHeight="1" s="28"/>
    <row r="94" ht="13.5" customHeight="1" s="28"/>
    <row r="95" ht="13.5" customHeight="1" s="28"/>
    <row r="96" ht="13.5" customHeight="1" s="28"/>
    <row r="97" ht="13.5" customHeight="1" s="28"/>
    <row r="98" ht="13.5" customHeight="1" s="28"/>
    <row r="99" ht="13.5" customHeight="1" s="28"/>
    <row r="100" ht="13.5" customHeight="1" s="28"/>
    <row r="101" ht="13.5" customHeight="1" s="28"/>
    <row r="102" ht="13.5" customHeight="1" s="28"/>
    <row r="103" ht="13.5" customHeight="1" s="28"/>
    <row r="104" ht="13.5" customHeight="1" s="28"/>
    <row r="105" ht="13.5" customHeight="1" s="28"/>
    <row r="106" ht="13.5" customHeight="1" s="28"/>
    <row r="107" ht="13.5" customHeight="1" s="28"/>
    <row r="108" ht="13.5" customHeight="1" s="28"/>
    <row r="109" ht="13.5" customHeight="1" s="28"/>
    <row r="110" ht="13.5" customHeight="1" s="28"/>
    <row r="111" ht="13.5" customHeight="1" s="28"/>
    <row r="112" ht="13.5" customHeight="1" s="28"/>
    <row r="113" ht="13.5" customHeight="1" s="28"/>
    <row r="114" ht="13.5" customHeight="1" s="28"/>
    <row r="115" ht="13.5" customHeight="1" s="28"/>
    <row r="116" ht="13.5" customHeight="1" s="28"/>
    <row r="117" ht="13.5" customHeight="1" s="28"/>
    <row r="118" ht="13.5" customHeight="1" s="28"/>
    <row r="119" ht="13.5" customHeight="1" s="28"/>
    <row r="120" ht="13.5" customHeight="1" s="28"/>
    <row r="121" ht="13.5" customHeight="1" s="28"/>
    <row r="122" ht="13.5" customHeight="1" s="28"/>
    <row r="123" ht="13.5" customHeight="1" s="28"/>
    <row r="124" ht="13.5" customHeight="1" s="28"/>
    <row r="125" ht="13.5" customHeight="1" s="28"/>
    <row r="126" ht="13.5" customHeight="1" s="28"/>
    <row r="127" ht="13.5" customHeight="1" s="28"/>
    <row r="128" ht="13.5" customHeight="1" s="28"/>
    <row r="129" ht="13.5" customHeight="1" s="28"/>
    <row r="130" ht="13.5" customHeight="1" s="28"/>
    <row r="131" ht="13.5" customHeight="1" s="28"/>
    <row r="132" ht="13.5" customHeight="1" s="28"/>
    <row r="133" ht="13.5" customHeight="1" s="28"/>
    <row r="134" ht="13.5" customHeight="1" s="28"/>
    <row r="135" ht="13.5" customHeight="1" s="28"/>
    <row r="136" ht="13.5" customHeight="1" s="28"/>
    <row r="137" ht="13.5" customHeight="1" s="28"/>
    <row r="138" ht="13.5" customHeight="1" s="28"/>
    <row r="139" ht="13.5" customHeight="1" s="28"/>
    <row r="140" ht="13.5" customHeight="1" s="28"/>
    <row r="141" ht="13.5" customHeight="1" s="28"/>
    <row r="142" ht="13.5" customHeight="1" s="28"/>
    <row r="143" ht="13.5" customHeight="1" s="28"/>
    <row r="144" ht="13.5" customHeight="1" s="28"/>
    <row r="145" ht="13.5" customHeight="1" s="28"/>
    <row r="146" ht="13.5" customHeight="1" s="28"/>
    <row r="147" ht="13.5" customHeight="1" s="28"/>
    <row r="148" ht="13.5" customHeight="1" s="28"/>
    <row r="149" ht="13.5" customHeight="1" s="28"/>
    <row r="150" ht="13.5" customHeight="1" s="28"/>
    <row r="151" ht="13.5" customHeight="1" s="28"/>
    <row r="152" ht="13.5" customHeight="1" s="28"/>
    <row r="153" ht="13.5" customHeight="1" s="28"/>
    <row r="154" ht="13.5" customHeight="1" s="28"/>
    <row r="155" ht="13.5" customHeight="1" s="28"/>
    <row r="156" ht="13.5" customHeight="1" s="28"/>
    <row r="157" ht="13.5" customHeight="1" s="28"/>
    <row r="158" ht="13.5" customHeight="1" s="28"/>
    <row r="159" ht="13.5" customHeight="1" s="28"/>
    <row r="160" ht="13.5" customHeight="1" s="28"/>
    <row r="161" ht="13.5" customHeight="1" s="28"/>
    <row r="162" ht="13.5" customHeight="1" s="28"/>
    <row r="163" ht="13.5" customHeight="1" s="28"/>
    <row r="164" ht="13.5" customHeight="1" s="28"/>
    <row r="165" ht="13.5" customHeight="1" s="28"/>
    <row r="166" ht="13.5" customHeight="1" s="28"/>
    <row r="167" ht="13.5" customHeight="1" s="28"/>
    <row r="168" ht="13.5" customHeight="1" s="28"/>
    <row r="169" ht="13.5" customHeight="1" s="28"/>
    <row r="170" ht="13.5" customHeight="1" s="28"/>
    <row r="171" ht="13.5" customHeight="1" s="28"/>
    <row r="172" ht="13.5" customHeight="1" s="28"/>
    <row r="173" ht="13.5" customHeight="1" s="28"/>
    <row r="174" ht="13.5" customHeight="1" s="28"/>
    <row r="175" ht="13.5" customHeight="1" s="28"/>
    <row r="176" ht="13.5" customHeight="1" s="28"/>
    <row r="177" ht="13.5" customHeight="1" s="28"/>
    <row r="178" ht="13.5" customHeight="1" s="28"/>
    <row r="179" ht="13.5" customHeight="1" s="28"/>
    <row r="180" ht="13.5" customHeight="1" s="28"/>
    <row r="181" ht="13.5" customHeight="1" s="28"/>
    <row r="182" ht="13.5" customHeight="1" s="28"/>
    <row r="183" ht="13.5" customHeight="1" s="28"/>
    <row r="184" ht="13.5" customHeight="1" s="28"/>
    <row r="185" ht="13.5" customHeight="1" s="28"/>
    <row r="186" ht="13.5" customHeight="1" s="28"/>
    <row r="187" ht="13.5" customHeight="1" s="28"/>
    <row r="188" ht="13.5" customHeight="1" s="28"/>
    <row r="189" ht="13.5" customHeight="1" s="28"/>
    <row r="190" ht="13.5" customHeight="1" s="28"/>
    <row r="191" ht="13.5" customHeight="1" s="28"/>
    <row r="192" ht="13.5" customHeight="1" s="28"/>
    <row r="193" ht="13.5" customHeight="1" s="28"/>
    <row r="194" ht="13.5" customHeight="1" s="28"/>
    <row r="195" ht="13.5" customHeight="1" s="28"/>
    <row r="196" ht="13.5" customHeight="1" s="28"/>
    <row r="197" ht="13.5" customHeight="1" s="28"/>
    <row r="198" ht="13.5" customHeight="1" s="28"/>
    <row r="199" ht="13.5" customHeight="1" s="28"/>
    <row r="200" ht="13.5" customHeight="1" s="28"/>
    <row r="201" ht="13.5" customHeight="1" s="28"/>
    <row r="202" ht="13.5" customHeight="1" s="28"/>
    <row r="203" ht="13.5" customHeight="1" s="28"/>
    <row r="204" ht="13.5" customHeight="1" s="28"/>
    <row r="205" ht="13.5" customHeight="1" s="28"/>
    <row r="206" ht="13.5" customHeight="1" s="28"/>
    <row r="207" ht="13.5" customHeight="1" s="28"/>
    <row r="208" ht="13.5" customHeight="1" s="28"/>
    <row r="209" ht="13.5" customHeight="1" s="28"/>
    <row r="210" ht="13.5" customHeight="1" s="28"/>
    <row r="211" ht="13.5" customHeight="1" s="28"/>
    <row r="212" ht="13.5" customHeight="1" s="28"/>
    <row r="213" ht="13.5" customHeight="1" s="28"/>
    <row r="214" ht="13.5" customHeight="1" s="28"/>
    <row r="215" ht="13.5" customHeight="1" s="28"/>
    <row r="216" ht="13.5" customHeight="1" s="28"/>
    <row r="217" ht="13.5" customHeight="1" s="28"/>
    <row r="218" ht="13.5" customHeight="1" s="28"/>
    <row r="219" ht="13.5" customHeight="1" s="28"/>
    <row r="220" ht="13.5" customHeight="1" s="28"/>
    <row r="221" ht="13.5" customHeight="1" s="28"/>
    <row r="222" ht="13.5" customHeight="1" s="28"/>
    <row r="223" ht="13.5" customHeight="1" s="28"/>
    <row r="224" ht="13.5" customHeight="1" s="28"/>
    <row r="225" ht="13.5" customHeight="1" s="28"/>
    <row r="226" ht="13.5" customHeight="1" s="28"/>
    <row r="227" ht="13.5" customHeight="1" s="28"/>
    <row r="228" ht="13.5" customHeight="1" s="28"/>
    <row r="229" ht="13.5" customHeight="1" s="28"/>
    <row r="230" ht="13.5" customHeight="1" s="28"/>
    <row r="231" ht="13.5" customHeight="1" s="28"/>
    <row r="232" ht="13.5" customHeight="1" s="28"/>
    <row r="233" ht="13.5" customHeight="1" s="28"/>
    <row r="234" ht="13.5" customHeight="1" s="28"/>
    <row r="235" ht="13.5" customHeight="1" s="28"/>
    <row r="236" ht="13.5" customHeight="1" s="28"/>
    <row r="237" ht="13.5" customHeight="1" s="28"/>
    <row r="238" ht="13.5" customHeight="1" s="28"/>
    <row r="239" ht="13.5" customHeight="1" s="28"/>
    <row r="240" ht="13.5" customHeight="1" s="28"/>
    <row r="241" ht="13.5" customHeight="1" s="28"/>
    <row r="242" ht="13.5" customHeight="1" s="28"/>
    <row r="243" ht="13.5" customHeight="1" s="28"/>
    <row r="244" ht="13.5" customHeight="1" s="28"/>
    <row r="245" ht="13.5" customHeight="1" s="28"/>
    <row r="246" ht="13.5" customHeight="1" s="28"/>
    <row r="247" ht="13.5" customHeight="1" s="28"/>
    <row r="248" ht="13.5" customHeight="1" s="28"/>
    <row r="249" ht="13.5" customHeight="1" s="28"/>
    <row r="250" ht="13.5" customHeight="1" s="28"/>
    <row r="251" ht="13.5" customHeight="1" s="28"/>
    <row r="252" ht="13.5" customHeight="1" s="28"/>
    <row r="253" ht="13.5" customHeight="1" s="28"/>
    <row r="254" ht="13.5" customHeight="1" s="28"/>
    <row r="255" ht="13.5" customHeight="1" s="28"/>
    <row r="256" ht="13.5" customHeight="1" s="28"/>
    <row r="257" ht="13.5" customHeight="1" s="28"/>
    <row r="258" ht="13.5" customHeight="1" s="28"/>
    <row r="259" ht="13.5" customHeight="1" s="28"/>
    <row r="260" ht="13.5" customHeight="1" s="28"/>
    <row r="261" ht="13.5" customHeight="1" s="28"/>
    <row r="262" ht="13.5" customHeight="1" s="28"/>
    <row r="263" ht="13.5" customHeight="1" s="28"/>
    <row r="264" ht="13.5" customHeight="1" s="28"/>
    <row r="265" ht="13.5" customHeight="1" s="28"/>
    <row r="266" ht="13.5" customHeight="1" s="28"/>
    <row r="267" ht="13.5" customHeight="1" s="28"/>
    <row r="268" ht="13.5" customHeight="1" s="28"/>
    <row r="269" ht="13.5" customHeight="1" s="28"/>
    <row r="270" ht="13.5" customHeight="1" s="28"/>
    <row r="271" ht="13.5" customHeight="1" s="28"/>
    <row r="272" ht="13.5" customHeight="1" s="28"/>
    <row r="273" ht="13.5" customHeight="1" s="28"/>
    <row r="274" ht="13.5" customHeight="1" s="28"/>
    <row r="275" ht="13.5" customHeight="1" s="28"/>
    <row r="276" ht="13.5" customHeight="1" s="28"/>
    <row r="277" ht="13.5" customHeight="1" s="28"/>
    <row r="278" ht="13.5" customHeight="1" s="28"/>
    <row r="279" ht="13.5" customHeight="1" s="28"/>
    <row r="280" ht="13.5" customHeight="1" s="28"/>
    <row r="281" ht="13.5" customHeight="1" s="28"/>
    <row r="282" ht="13.5" customHeight="1" s="28"/>
    <row r="283" ht="13.5" customHeight="1" s="28"/>
    <row r="284" ht="13.5" customHeight="1" s="28"/>
    <row r="285" ht="13.5" customHeight="1" s="28"/>
    <row r="286" ht="13.5" customHeight="1" s="28"/>
    <row r="287" ht="13.5" customHeight="1" s="28"/>
    <row r="288" ht="13.5" customHeight="1" s="28"/>
    <row r="289" ht="13.5" customHeight="1" s="28"/>
    <row r="290" ht="13.5" customHeight="1" s="28"/>
    <row r="291" ht="13.5" customHeight="1" s="28"/>
    <row r="292" ht="13.5" customHeight="1" s="28"/>
    <row r="293" ht="13.5" customHeight="1" s="28"/>
    <row r="294" ht="13.5" customHeight="1" s="28"/>
    <row r="295" ht="13.5" customHeight="1" s="28"/>
    <row r="296" ht="13.5" customHeight="1" s="28"/>
    <row r="297" ht="13.5" customHeight="1" s="28"/>
    <row r="298" ht="13.5" customHeight="1" s="28"/>
    <row r="299" ht="13.5" customHeight="1" s="28"/>
    <row r="300" ht="13.5" customHeight="1" s="28"/>
    <row r="301" ht="13.5" customHeight="1" s="28"/>
    <row r="302" ht="13.5" customHeight="1" s="28"/>
    <row r="303" ht="13.5" customHeight="1" s="28"/>
    <row r="304" ht="13.5" customHeight="1" s="28"/>
    <row r="305" ht="13.5" customHeight="1" s="28"/>
    <row r="306" ht="13.5" customHeight="1" s="28"/>
    <row r="307" ht="13.5" customHeight="1" s="28"/>
    <row r="308" ht="13.5" customHeight="1" s="28"/>
    <row r="309" ht="13.5" customHeight="1" s="28"/>
    <row r="310" ht="13.5" customHeight="1" s="28"/>
    <row r="311" ht="13.5" customHeight="1" s="28"/>
    <row r="312" ht="13.5" customHeight="1" s="28"/>
    <row r="313" ht="13.5" customHeight="1" s="28"/>
    <row r="314" ht="13.5" customHeight="1" s="28"/>
    <row r="315" ht="13.5" customHeight="1" s="28"/>
    <row r="316" ht="13.5" customHeight="1" s="28"/>
    <row r="317" ht="13.5" customHeight="1" s="28"/>
    <row r="318" ht="13.5" customHeight="1" s="28"/>
    <row r="319" ht="13.5" customHeight="1" s="28"/>
    <row r="320" ht="13.5" customHeight="1" s="28"/>
    <row r="321" ht="13.5" customHeight="1" s="28"/>
    <row r="322" ht="13.5" customHeight="1" s="28"/>
    <row r="323" ht="13.5" customHeight="1" s="28"/>
    <row r="324" ht="13.5" customHeight="1" s="28"/>
    <row r="325" ht="13.5" customHeight="1" s="28"/>
    <row r="326" ht="13.5" customHeight="1" s="28"/>
    <row r="327" ht="13.5" customHeight="1" s="28"/>
    <row r="328" ht="13.5" customHeight="1" s="28"/>
    <row r="329" ht="13.5" customHeight="1" s="28"/>
    <row r="330" ht="13.5" customHeight="1" s="28"/>
    <row r="331" ht="13.5" customHeight="1" s="28"/>
    <row r="332" ht="13.5" customHeight="1" s="28"/>
    <row r="333" ht="13.5" customHeight="1" s="28"/>
    <row r="334" ht="13.5" customHeight="1" s="28"/>
    <row r="335" ht="13.5" customHeight="1" s="28"/>
    <row r="336" ht="13.5" customHeight="1" s="28"/>
    <row r="337" ht="13.5" customHeight="1" s="28"/>
    <row r="338" ht="13.5" customHeight="1" s="28"/>
    <row r="339" ht="13.5" customHeight="1" s="28"/>
    <row r="340" ht="13.5" customHeight="1" s="28"/>
    <row r="341" ht="13.5" customHeight="1" s="28"/>
    <row r="342" ht="13.5" customHeight="1" s="28"/>
    <row r="343" ht="13.5" customHeight="1" s="28"/>
    <row r="344" ht="13.5" customHeight="1" s="28"/>
    <row r="345" ht="13.5" customHeight="1" s="28"/>
    <row r="346" ht="13.5" customHeight="1" s="28"/>
    <row r="347" ht="13.5" customHeight="1" s="28"/>
    <row r="348" ht="13.5" customHeight="1" s="28"/>
    <row r="349" ht="13.5" customHeight="1" s="28"/>
    <row r="350" ht="13.5" customHeight="1" s="28"/>
    <row r="351" ht="13.5" customHeight="1" s="28"/>
    <row r="352" ht="13.5" customHeight="1" s="28"/>
    <row r="353" ht="13.5" customHeight="1" s="28"/>
    <row r="354" ht="13.5" customHeight="1" s="28"/>
    <row r="355" ht="13.5" customHeight="1" s="28"/>
    <row r="356" ht="13.5" customHeight="1" s="28"/>
    <row r="357" ht="13.5" customHeight="1" s="28"/>
    <row r="358" ht="13.5" customHeight="1" s="28"/>
    <row r="359" ht="13.5" customHeight="1" s="28"/>
    <row r="360" ht="13.5" customHeight="1" s="28"/>
    <row r="361" ht="13.5" customHeight="1" s="28"/>
    <row r="362" ht="13.5" customHeight="1" s="28"/>
    <row r="363" ht="13.5" customHeight="1" s="28"/>
    <row r="364" ht="13.5" customHeight="1" s="28"/>
    <row r="365" ht="13.5" customHeight="1" s="28"/>
    <row r="366" ht="13.5" customHeight="1" s="28"/>
    <row r="367" ht="13.5" customHeight="1" s="28"/>
    <row r="368" ht="13.5" customHeight="1" s="28"/>
    <row r="369" ht="13.5" customHeight="1" s="28"/>
    <row r="370" ht="13.5" customHeight="1" s="28"/>
    <row r="371" ht="13.5" customHeight="1" s="28"/>
    <row r="372" ht="13.5" customHeight="1" s="28"/>
    <row r="373" ht="13.5" customHeight="1" s="28"/>
    <row r="374" ht="13.5" customHeight="1" s="28"/>
    <row r="375" ht="13.5" customHeight="1" s="28"/>
    <row r="376" ht="13.5" customHeight="1" s="28"/>
    <row r="377" ht="13.5" customHeight="1" s="28"/>
    <row r="378" ht="13.5" customHeight="1" s="28"/>
    <row r="379" ht="13.5" customHeight="1" s="28"/>
    <row r="380" ht="13.5" customHeight="1" s="28"/>
    <row r="381" ht="13.5" customHeight="1" s="28"/>
    <row r="382" ht="13.5" customHeight="1" s="28"/>
    <row r="383" ht="13.5" customHeight="1" s="28"/>
    <row r="384" ht="13.5" customHeight="1" s="28"/>
    <row r="385" ht="13.5" customHeight="1" s="28"/>
    <row r="386" ht="13.5" customHeight="1" s="28"/>
    <row r="387" ht="13.5" customHeight="1" s="28"/>
    <row r="388" ht="13.5" customHeight="1" s="28"/>
    <row r="389" ht="13.5" customHeight="1" s="28"/>
    <row r="390" ht="13.5" customHeight="1" s="28"/>
    <row r="391" ht="13.5" customHeight="1" s="28"/>
    <row r="392" ht="13.5" customHeight="1" s="28"/>
    <row r="393" ht="13.5" customHeight="1" s="28"/>
    <row r="394" ht="13.5" customHeight="1" s="28"/>
    <row r="395" ht="13.5" customHeight="1" s="28"/>
    <row r="396" ht="13.5" customHeight="1" s="28"/>
    <row r="397" ht="13.5" customHeight="1" s="28"/>
    <row r="398" ht="13.5" customHeight="1" s="28"/>
    <row r="399" ht="13.5" customHeight="1" s="28"/>
    <row r="400" ht="13.5" customHeight="1" s="28"/>
    <row r="401" ht="13.5" customHeight="1" s="28"/>
    <row r="402" ht="13.5" customHeight="1" s="28"/>
    <row r="403" ht="13.5" customHeight="1" s="28"/>
    <row r="404" ht="13.5" customHeight="1" s="28"/>
    <row r="405" ht="13.5" customHeight="1" s="28"/>
    <row r="406" ht="13.5" customHeight="1" s="28"/>
    <row r="407" ht="13.5" customHeight="1" s="28"/>
    <row r="408" ht="13.5" customHeight="1" s="28"/>
    <row r="409" ht="13.5" customHeight="1" s="28"/>
    <row r="410" ht="13.5" customHeight="1" s="28"/>
    <row r="411" ht="13.5" customHeight="1" s="28"/>
    <row r="412" ht="13.5" customHeight="1" s="28"/>
    <row r="413" ht="13.5" customHeight="1" s="28"/>
    <row r="414" ht="13.5" customHeight="1" s="28"/>
    <row r="415" ht="13.5" customHeight="1" s="28"/>
    <row r="416" ht="13.5" customHeight="1" s="28"/>
    <row r="417" ht="13.5" customHeight="1" s="28"/>
    <row r="418" ht="13.5" customHeight="1" s="28"/>
    <row r="419" ht="13.5" customHeight="1" s="28"/>
    <row r="420" ht="13.5" customHeight="1" s="28"/>
    <row r="421" ht="13.5" customHeight="1" s="28"/>
    <row r="422" ht="13.5" customHeight="1" s="28"/>
    <row r="423" ht="13.5" customHeight="1" s="28"/>
    <row r="424" ht="13.5" customHeight="1" s="28"/>
    <row r="425" ht="13.5" customHeight="1" s="28"/>
    <row r="426" ht="13.5" customHeight="1" s="28"/>
    <row r="427" ht="13.5" customHeight="1" s="28"/>
    <row r="428" ht="13.5" customHeight="1" s="28"/>
    <row r="429" ht="13.5" customHeight="1" s="28"/>
    <row r="430" ht="13.5" customHeight="1" s="28"/>
    <row r="431" ht="13.5" customHeight="1" s="28"/>
    <row r="432" ht="13.5" customHeight="1" s="28"/>
    <row r="433" ht="13.5" customHeight="1" s="28"/>
    <row r="434" ht="13.5" customHeight="1" s="28"/>
    <row r="435" ht="13.5" customHeight="1" s="28"/>
    <row r="436" ht="13.5" customHeight="1" s="28"/>
    <row r="437" ht="13.5" customHeight="1" s="28"/>
    <row r="438" ht="13.5" customHeight="1" s="28"/>
    <row r="439" ht="13.5" customHeight="1" s="28"/>
    <row r="440" ht="13.5" customHeight="1" s="28"/>
    <row r="441" ht="13.5" customHeight="1" s="28"/>
    <row r="442" ht="13.5" customHeight="1" s="28"/>
    <row r="443" ht="13.5" customHeight="1" s="28"/>
    <row r="444" ht="13.5" customHeight="1" s="28"/>
    <row r="445" ht="13.5" customHeight="1" s="28"/>
    <row r="446" ht="13.5" customHeight="1" s="28"/>
    <row r="447" ht="13.5" customHeight="1" s="28"/>
    <row r="448" ht="13.5" customHeight="1" s="28"/>
    <row r="449" ht="13.5" customHeight="1" s="28"/>
    <row r="450" ht="13.5" customHeight="1" s="28"/>
    <row r="451" ht="13.5" customHeight="1" s="28"/>
    <row r="452" ht="13.5" customHeight="1" s="28"/>
    <row r="453" ht="13.5" customHeight="1" s="28"/>
    <row r="454" ht="13.5" customHeight="1" s="28"/>
    <row r="455" ht="13.5" customHeight="1" s="28"/>
    <row r="456" ht="13.5" customHeight="1" s="28"/>
    <row r="457" ht="13.5" customHeight="1" s="28"/>
    <row r="458" ht="13.5" customHeight="1" s="28"/>
    <row r="459" ht="13.5" customHeight="1" s="28"/>
    <row r="460" ht="13.5" customHeight="1" s="28"/>
    <row r="461" ht="13.5" customHeight="1" s="28"/>
    <row r="462" ht="13.5" customHeight="1" s="28"/>
    <row r="463" ht="13.5" customHeight="1" s="28"/>
    <row r="464" ht="13.5" customHeight="1" s="28"/>
    <row r="465" ht="13.5" customHeight="1" s="28"/>
    <row r="466" ht="13.5" customHeight="1" s="28"/>
    <row r="467" ht="13.5" customHeight="1" s="28"/>
    <row r="468" ht="13.5" customHeight="1" s="28"/>
    <row r="469" ht="13.5" customHeight="1" s="28"/>
    <row r="470" ht="13.5" customHeight="1" s="28"/>
    <row r="471" ht="13.5" customHeight="1" s="28"/>
    <row r="472" ht="13.5" customHeight="1" s="28"/>
    <row r="473" ht="13.5" customHeight="1" s="28"/>
    <row r="474" ht="13.5" customHeight="1" s="28"/>
    <row r="475" ht="13.5" customHeight="1" s="28"/>
    <row r="476" ht="13.5" customHeight="1" s="28"/>
    <row r="477" ht="13.5" customHeight="1" s="28"/>
    <row r="478" ht="13.5" customHeight="1" s="28"/>
    <row r="479" ht="13.5" customHeight="1" s="28"/>
    <row r="480" ht="13.5" customHeight="1" s="28"/>
    <row r="481" ht="13.5" customHeight="1" s="28"/>
    <row r="482" ht="13.5" customHeight="1" s="28"/>
    <row r="483" ht="13.5" customHeight="1" s="28"/>
    <row r="484" ht="13.5" customHeight="1" s="28"/>
    <row r="485" ht="13.5" customHeight="1" s="28"/>
    <row r="486" ht="13.5" customHeight="1" s="28"/>
    <row r="487" ht="13.5" customHeight="1" s="28"/>
    <row r="488" ht="13.5" customHeight="1" s="28"/>
    <row r="489" ht="13.5" customHeight="1" s="28"/>
    <row r="490" ht="13.5" customHeight="1" s="28"/>
    <row r="491" ht="13.5" customHeight="1" s="28"/>
    <row r="492" ht="13.5" customHeight="1" s="28"/>
    <row r="493" ht="13.5" customHeight="1" s="28"/>
    <row r="494" ht="13.5" customHeight="1" s="28"/>
    <row r="495" ht="13.5" customHeight="1" s="28"/>
    <row r="496" ht="13.5" customHeight="1" s="28"/>
    <row r="497" ht="13.5" customHeight="1" s="28"/>
    <row r="498" ht="13.5" customHeight="1" s="28"/>
    <row r="499" ht="13.5" customHeight="1" s="28"/>
    <row r="500" ht="13.5" customHeight="1" s="28"/>
    <row r="501" ht="13.5" customHeight="1" s="28"/>
    <row r="502" ht="13.5" customHeight="1" s="28"/>
    <row r="503" ht="13.5" customHeight="1" s="28"/>
    <row r="504" ht="13.5" customHeight="1" s="28"/>
    <row r="505" ht="13.5" customHeight="1" s="28"/>
    <row r="506" ht="13.5" customHeight="1" s="28"/>
    <row r="507" ht="13.5" customHeight="1" s="28"/>
    <row r="508" ht="13.5" customHeight="1" s="28"/>
    <row r="509" ht="13.5" customHeight="1" s="28"/>
    <row r="510" ht="13.5" customHeight="1" s="28"/>
    <row r="511" ht="13.5" customHeight="1" s="28"/>
    <row r="512" ht="13.5" customHeight="1" s="28"/>
    <row r="513" ht="13.5" customHeight="1" s="28"/>
    <row r="514" ht="13.5" customHeight="1" s="28"/>
    <row r="515" ht="13.5" customHeight="1" s="28"/>
    <row r="516" ht="13.5" customHeight="1" s="28"/>
    <row r="517" ht="13.5" customHeight="1" s="28"/>
    <row r="518" ht="13.5" customHeight="1" s="28"/>
    <row r="519" ht="13.5" customHeight="1" s="28"/>
    <row r="520" ht="13.5" customHeight="1" s="28"/>
    <row r="521" ht="13.5" customHeight="1" s="28"/>
    <row r="522" ht="13.5" customHeight="1" s="28"/>
    <row r="523" ht="13.5" customHeight="1" s="28"/>
    <row r="524" ht="13.5" customHeight="1" s="28"/>
    <row r="525" ht="13.5" customHeight="1" s="28"/>
    <row r="526" ht="13.5" customHeight="1" s="28"/>
    <row r="527" ht="13.5" customHeight="1" s="28"/>
    <row r="528" ht="13.5" customHeight="1" s="28"/>
    <row r="529" ht="13.5" customHeight="1" s="28"/>
    <row r="530" ht="13.5" customHeight="1" s="28"/>
    <row r="531" ht="13.5" customHeight="1" s="28"/>
    <row r="532" ht="13.5" customHeight="1" s="28"/>
    <row r="533" ht="13.5" customHeight="1" s="28"/>
    <row r="534" ht="13.5" customHeight="1" s="28"/>
    <row r="535" ht="13.5" customHeight="1" s="28"/>
    <row r="536" ht="13.5" customHeight="1" s="28"/>
    <row r="537" ht="13.5" customHeight="1" s="28"/>
    <row r="538" ht="13.5" customHeight="1" s="28"/>
    <row r="539" ht="13.5" customHeight="1" s="28"/>
    <row r="540" ht="13.5" customHeight="1" s="28"/>
    <row r="541" ht="13.5" customHeight="1" s="28"/>
    <row r="542" ht="13.5" customHeight="1" s="28"/>
    <row r="543" ht="13.5" customHeight="1" s="28"/>
    <row r="544" ht="13.5" customHeight="1" s="28"/>
    <row r="545" ht="13.5" customHeight="1" s="28"/>
    <row r="546" ht="13.5" customHeight="1" s="28"/>
    <row r="547" ht="13.5" customHeight="1" s="28"/>
    <row r="548" ht="13.5" customHeight="1" s="28"/>
    <row r="549" ht="13.5" customHeight="1" s="28"/>
    <row r="550" ht="13.5" customHeight="1" s="28"/>
    <row r="551" ht="13.5" customHeight="1" s="28"/>
    <row r="552" ht="13.5" customHeight="1" s="28"/>
    <row r="553" ht="13.5" customHeight="1" s="28"/>
    <row r="554" ht="13.5" customHeight="1" s="28"/>
    <row r="555" ht="13.5" customHeight="1" s="28"/>
    <row r="556" ht="13.5" customHeight="1" s="28"/>
    <row r="557" ht="13.5" customHeight="1" s="28"/>
    <row r="558" ht="13.5" customHeight="1" s="28"/>
    <row r="559" ht="13.5" customHeight="1" s="28"/>
    <row r="560" ht="13.5" customHeight="1" s="28"/>
    <row r="561" ht="13.5" customHeight="1" s="28"/>
    <row r="562" ht="13.5" customHeight="1" s="28"/>
    <row r="563" ht="13.5" customHeight="1" s="28"/>
    <row r="564" ht="13.5" customHeight="1" s="28"/>
    <row r="565" ht="13.5" customHeight="1" s="28"/>
    <row r="566" ht="13.5" customHeight="1" s="28"/>
    <row r="567" ht="13.5" customHeight="1" s="28"/>
    <row r="568" ht="13.5" customHeight="1" s="28"/>
    <row r="569" ht="13.5" customHeight="1" s="28"/>
    <row r="570" ht="13.5" customHeight="1" s="28"/>
    <row r="571" ht="13.5" customHeight="1" s="28"/>
    <row r="572" ht="13.5" customHeight="1" s="28"/>
    <row r="573" ht="13.5" customHeight="1" s="28"/>
    <row r="574" ht="13.5" customHeight="1" s="28"/>
    <row r="575" ht="13.5" customHeight="1" s="28"/>
    <row r="576" ht="13.5" customHeight="1" s="28"/>
    <row r="577" ht="13.5" customHeight="1" s="28"/>
    <row r="578" ht="13.5" customHeight="1" s="28"/>
    <row r="579" ht="13.5" customHeight="1" s="28"/>
    <row r="580" ht="13.5" customHeight="1" s="28"/>
    <row r="581" ht="13.5" customHeight="1" s="28"/>
    <row r="582" ht="13.5" customHeight="1" s="28"/>
    <row r="583" ht="13.5" customHeight="1" s="28"/>
    <row r="584" ht="13.5" customHeight="1" s="28"/>
    <row r="585" ht="13.5" customHeight="1" s="28"/>
    <row r="586" ht="13.5" customHeight="1" s="28"/>
    <row r="587" ht="13.5" customHeight="1" s="28"/>
    <row r="588" ht="13.5" customHeight="1" s="28"/>
    <row r="589" ht="13.5" customHeight="1" s="28"/>
    <row r="590" ht="13.5" customHeight="1" s="28"/>
    <row r="591" ht="13.5" customHeight="1" s="28"/>
    <row r="592" ht="13.5" customHeight="1" s="28"/>
    <row r="593" ht="13.5" customHeight="1" s="28"/>
    <row r="594" ht="13.5" customHeight="1" s="28"/>
    <row r="595" ht="13.5" customHeight="1" s="28"/>
    <row r="596" ht="13.5" customHeight="1" s="28"/>
    <row r="597" ht="13.5" customHeight="1" s="28"/>
    <row r="598" ht="13.5" customHeight="1" s="28"/>
    <row r="599" ht="13.5" customHeight="1" s="28"/>
    <row r="600" ht="13.5" customHeight="1" s="28"/>
    <row r="601" ht="13.5" customHeight="1" s="28"/>
    <row r="602" ht="13.5" customHeight="1" s="28"/>
    <row r="603" ht="13.5" customHeight="1" s="28"/>
    <row r="604" ht="13.5" customHeight="1" s="28"/>
    <row r="605" ht="13.5" customHeight="1" s="28"/>
    <row r="606" ht="13.5" customHeight="1" s="28"/>
    <row r="607" ht="13.5" customHeight="1" s="28"/>
    <row r="608" ht="13.5" customHeight="1" s="28"/>
    <row r="609" ht="13.5" customHeight="1" s="28"/>
    <row r="610" ht="13.5" customHeight="1" s="28"/>
    <row r="611" ht="13.5" customHeight="1" s="28"/>
    <row r="612" ht="13.5" customHeight="1" s="28"/>
    <row r="613" ht="13.5" customHeight="1" s="28"/>
    <row r="614" ht="13.5" customHeight="1" s="28"/>
    <row r="615" ht="13.5" customHeight="1" s="28"/>
    <row r="616" ht="13.5" customHeight="1" s="28"/>
    <row r="617" ht="13.5" customHeight="1" s="28"/>
    <row r="618" ht="13.5" customHeight="1" s="28"/>
    <row r="619" ht="13.5" customHeight="1" s="28"/>
    <row r="620" ht="13.5" customHeight="1" s="28"/>
    <row r="621" ht="13.5" customHeight="1" s="28"/>
    <row r="622" ht="13.5" customHeight="1" s="28"/>
    <row r="623" ht="13.5" customHeight="1" s="28"/>
    <row r="624" ht="13.5" customHeight="1" s="28"/>
    <row r="625" ht="13.5" customHeight="1" s="28"/>
    <row r="626" ht="13.5" customHeight="1" s="28"/>
    <row r="627" ht="13.5" customHeight="1" s="28"/>
    <row r="628" ht="13.5" customHeight="1" s="28"/>
    <row r="629" ht="13.5" customHeight="1" s="28"/>
    <row r="630" ht="13.5" customHeight="1" s="28"/>
    <row r="631" ht="13.5" customHeight="1" s="28"/>
    <row r="632" ht="13.5" customHeight="1" s="28"/>
    <row r="633" ht="13.5" customHeight="1" s="28"/>
    <row r="634" ht="13.5" customHeight="1" s="28"/>
    <row r="635" ht="13.5" customHeight="1" s="28"/>
    <row r="636" ht="13.5" customHeight="1" s="28"/>
    <row r="637" ht="13.5" customHeight="1" s="28"/>
    <row r="638" ht="13.5" customHeight="1" s="28"/>
    <row r="639" ht="13.5" customHeight="1" s="28"/>
    <row r="640" ht="13.5" customHeight="1" s="28"/>
    <row r="641" ht="13.5" customHeight="1" s="28"/>
    <row r="642" ht="13.5" customHeight="1" s="28"/>
    <row r="643" ht="13.5" customHeight="1" s="28"/>
    <row r="644" ht="13.5" customHeight="1" s="28"/>
    <row r="645" ht="13.5" customHeight="1" s="28"/>
    <row r="646" ht="13.5" customHeight="1" s="28"/>
    <row r="647" ht="13.5" customHeight="1" s="28"/>
    <row r="648" ht="13.5" customHeight="1" s="28"/>
    <row r="649" ht="13.5" customHeight="1" s="28"/>
    <row r="650" ht="13.5" customHeight="1" s="28"/>
    <row r="651" ht="13.5" customHeight="1" s="28"/>
    <row r="652" ht="13.5" customHeight="1" s="28"/>
    <row r="653" ht="13.5" customHeight="1" s="28"/>
    <row r="654" ht="13.5" customHeight="1" s="28"/>
    <row r="655" ht="13.5" customHeight="1" s="28"/>
    <row r="656" ht="13.5" customHeight="1" s="28"/>
    <row r="657" ht="13.5" customHeight="1" s="28"/>
    <row r="658" ht="13.5" customHeight="1" s="28"/>
    <row r="659" ht="13.5" customHeight="1" s="28"/>
    <row r="660" ht="13.5" customHeight="1" s="28"/>
    <row r="661" ht="13.5" customHeight="1" s="28"/>
    <row r="662" ht="13.5" customHeight="1" s="28"/>
    <row r="663" ht="13.5" customHeight="1" s="28"/>
    <row r="664" ht="13.5" customHeight="1" s="28"/>
    <row r="665" ht="13.5" customHeight="1" s="28"/>
    <row r="666" ht="13.5" customHeight="1" s="28"/>
    <row r="667" ht="13.5" customHeight="1" s="28"/>
    <row r="668" ht="13.5" customHeight="1" s="28"/>
    <row r="669" ht="13.5" customHeight="1" s="28"/>
    <row r="670" ht="13.5" customHeight="1" s="28"/>
    <row r="671" ht="13.5" customHeight="1" s="28"/>
    <row r="672" ht="13.5" customHeight="1" s="28"/>
    <row r="673" ht="13.5" customHeight="1" s="28"/>
    <row r="674" ht="13.5" customHeight="1" s="28"/>
    <row r="675" ht="13.5" customHeight="1" s="28"/>
    <row r="676" ht="13.5" customHeight="1" s="28"/>
    <row r="677" ht="13.5" customHeight="1" s="28"/>
    <row r="678" ht="13.5" customHeight="1" s="28"/>
    <row r="679" ht="13.5" customHeight="1" s="28"/>
    <row r="680" ht="13.5" customHeight="1" s="28"/>
    <row r="681" ht="13.5" customHeight="1" s="28"/>
    <row r="682" ht="13.5" customHeight="1" s="28"/>
    <row r="683" ht="13.5" customHeight="1" s="28"/>
    <row r="684" ht="13.5" customHeight="1" s="28"/>
    <row r="685" ht="13.5" customHeight="1" s="28"/>
    <row r="686" ht="13.5" customHeight="1" s="28"/>
    <row r="687" ht="13.5" customHeight="1" s="28"/>
    <row r="688" ht="13.5" customHeight="1" s="28"/>
    <row r="689" ht="13.5" customHeight="1" s="28"/>
    <row r="690" ht="13.5" customHeight="1" s="28"/>
    <row r="691" ht="13.5" customHeight="1" s="28"/>
    <row r="692" ht="13.5" customHeight="1" s="28"/>
    <row r="693" ht="13.5" customHeight="1" s="28"/>
    <row r="694" ht="13.5" customHeight="1" s="28"/>
    <row r="695" ht="13.5" customHeight="1" s="28"/>
    <row r="696" ht="13.5" customHeight="1" s="28"/>
    <row r="697" ht="13.5" customHeight="1" s="28"/>
    <row r="698" ht="13.5" customHeight="1" s="28"/>
    <row r="699" ht="13.5" customHeight="1" s="28"/>
    <row r="700" ht="13.5" customHeight="1" s="28"/>
    <row r="701" ht="13.5" customHeight="1" s="28"/>
    <row r="702" ht="13.5" customHeight="1" s="28"/>
    <row r="703" ht="13.5" customHeight="1" s="28"/>
    <row r="704" ht="13.5" customHeight="1" s="28"/>
    <row r="705" ht="13.5" customHeight="1" s="28"/>
    <row r="706" ht="13.5" customHeight="1" s="28"/>
    <row r="707" ht="13.5" customHeight="1" s="28"/>
    <row r="708" ht="13.5" customHeight="1" s="28"/>
    <row r="709" ht="13.5" customHeight="1" s="28"/>
    <row r="710" ht="13.5" customHeight="1" s="28"/>
    <row r="711" ht="13.5" customHeight="1" s="28"/>
    <row r="712" ht="13.5" customHeight="1" s="28"/>
    <row r="713" ht="13.5" customHeight="1" s="28"/>
    <row r="714" ht="13.5" customHeight="1" s="28"/>
    <row r="715" ht="13.5" customHeight="1" s="28"/>
    <row r="716" ht="13.5" customHeight="1" s="28"/>
    <row r="717" ht="13.5" customHeight="1" s="28"/>
    <row r="718" ht="13.5" customHeight="1" s="28"/>
    <row r="719" ht="13.5" customHeight="1" s="28"/>
    <row r="720" ht="13.5" customHeight="1" s="28"/>
    <row r="721" ht="13.5" customHeight="1" s="28"/>
    <row r="722" ht="13.5" customHeight="1" s="28"/>
    <row r="723" ht="13.5" customHeight="1" s="28"/>
    <row r="724" ht="13.5" customHeight="1" s="28"/>
    <row r="725" ht="13.5" customHeight="1" s="28"/>
    <row r="726" ht="13.5" customHeight="1" s="28"/>
    <row r="727" ht="13.5" customHeight="1" s="28"/>
    <row r="728" ht="13.5" customHeight="1" s="28"/>
    <row r="729" ht="13.5" customHeight="1" s="28"/>
    <row r="730" ht="13.5" customHeight="1" s="28"/>
    <row r="731" ht="13.5" customHeight="1" s="28"/>
    <row r="732" ht="13.5" customHeight="1" s="28"/>
    <row r="733" ht="13.5" customHeight="1" s="28"/>
    <row r="734" ht="13.5" customHeight="1" s="28"/>
    <row r="735" ht="13.5" customHeight="1" s="28"/>
    <row r="736" ht="13.5" customHeight="1" s="28"/>
    <row r="737" ht="13.5" customHeight="1" s="28"/>
    <row r="738" ht="13.5" customHeight="1" s="28"/>
    <row r="739" ht="13.5" customHeight="1" s="28"/>
    <row r="740" ht="13.5" customHeight="1" s="28"/>
    <row r="741" ht="13.5" customHeight="1" s="28"/>
    <row r="742" ht="13.5" customHeight="1" s="28"/>
    <row r="743" ht="13.5" customHeight="1" s="28"/>
    <row r="744" ht="13.5" customHeight="1" s="28"/>
    <row r="745" ht="13.5" customHeight="1" s="28"/>
    <row r="746" ht="13.5" customHeight="1" s="28"/>
    <row r="747" ht="13.5" customHeight="1" s="28"/>
    <row r="748" ht="13.5" customHeight="1" s="28"/>
    <row r="749" ht="13.5" customHeight="1" s="28"/>
    <row r="750" ht="13.5" customHeight="1" s="28"/>
    <row r="751" ht="13.5" customHeight="1" s="28"/>
    <row r="752" ht="13.5" customHeight="1" s="28"/>
    <row r="753" ht="13.5" customHeight="1" s="28"/>
    <row r="754" ht="13.5" customHeight="1" s="28"/>
    <row r="755" ht="13.5" customHeight="1" s="28"/>
    <row r="756" ht="13.5" customHeight="1" s="28"/>
    <row r="757" ht="13.5" customHeight="1" s="28"/>
    <row r="758" ht="13.5" customHeight="1" s="28"/>
    <row r="759" ht="13.5" customHeight="1" s="28"/>
    <row r="760" ht="13.5" customHeight="1" s="28"/>
    <row r="761" ht="13.5" customHeight="1" s="28"/>
    <row r="762" ht="13.5" customHeight="1" s="28"/>
    <row r="763" ht="13.5" customHeight="1" s="28"/>
    <row r="764" ht="13.5" customHeight="1" s="28"/>
    <row r="765" ht="13.5" customHeight="1" s="28"/>
    <row r="766" ht="13.5" customHeight="1" s="28"/>
    <row r="767" ht="13.5" customHeight="1" s="28"/>
    <row r="768" ht="13.5" customHeight="1" s="28"/>
    <row r="769" ht="13.5" customHeight="1" s="28"/>
    <row r="770" ht="13.5" customHeight="1" s="28"/>
    <row r="771" ht="13.5" customHeight="1" s="28"/>
    <row r="772" ht="13.5" customHeight="1" s="28"/>
    <row r="773" ht="13.5" customHeight="1" s="28"/>
    <row r="774" ht="13.5" customHeight="1" s="28"/>
    <row r="775" ht="13.5" customHeight="1" s="28"/>
    <row r="776" ht="13.5" customHeight="1" s="28"/>
    <row r="777" ht="13.5" customHeight="1" s="28"/>
    <row r="778" ht="13.5" customHeight="1" s="28"/>
    <row r="779" ht="13.5" customHeight="1" s="28"/>
    <row r="780" ht="13.5" customHeight="1" s="28"/>
    <row r="781" ht="13.5" customHeight="1" s="28"/>
    <row r="782" ht="13.5" customHeight="1" s="28"/>
    <row r="783" ht="13.5" customHeight="1" s="28"/>
    <row r="784" ht="13.5" customHeight="1" s="28"/>
    <row r="785" ht="13.5" customHeight="1" s="28"/>
    <row r="786" ht="13.5" customHeight="1" s="28"/>
    <row r="787" ht="13.5" customHeight="1" s="28"/>
    <row r="788" ht="13.5" customHeight="1" s="28"/>
    <row r="789" ht="13.5" customHeight="1" s="28"/>
    <row r="790" ht="13.5" customHeight="1" s="28"/>
    <row r="791" ht="13.5" customHeight="1" s="28"/>
    <row r="792" ht="13.5" customHeight="1" s="28"/>
    <row r="793" ht="13.5" customHeight="1" s="28"/>
    <row r="794" ht="13.5" customHeight="1" s="28"/>
    <row r="795" ht="13.5" customHeight="1" s="28"/>
    <row r="796" ht="13.5" customHeight="1" s="28"/>
    <row r="797" ht="13.5" customHeight="1" s="28"/>
    <row r="798" ht="13.5" customHeight="1" s="28"/>
    <row r="799" ht="13.5" customHeight="1" s="28"/>
    <row r="800" ht="13.5" customHeight="1" s="28"/>
    <row r="801" ht="13.5" customHeight="1" s="28"/>
    <row r="802" ht="13.5" customHeight="1" s="28"/>
    <row r="803" ht="13.5" customHeight="1" s="28"/>
    <row r="804" ht="13.5" customHeight="1" s="28"/>
    <row r="805" ht="13.5" customHeight="1" s="28"/>
    <row r="806" ht="13.5" customHeight="1" s="28"/>
    <row r="807" ht="13.5" customHeight="1" s="28"/>
    <row r="808" ht="13.5" customHeight="1" s="28"/>
    <row r="809" ht="13.5" customHeight="1" s="28"/>
    <row r="810" ht="13.5" customHeight="1" s="28"/>
    <row r="811" ht="13.5" customHeight="1" s="28"/>
    <row r="812" ht="13.5" customHeight="1" s="28"/>
    <row r="813" ht="13.5" customHeight="1" s="28"/>
    <row r="814" ht="13.5" customHeight="1" s="28"/>
    <row r="815" ht="13.5" customHeight="1" s="28"/>
    <row r="816" ht="13.5" customHeight="1" s="28"/>
    <row r="817" ht="13.5" customHeight="1" s="28"/>
    <row r="818" ht="13.5" customHeight="1" s="28"/>
    <row r="819" ht="13.5" customHeight="1" s="28"/>
    <row r="820" ht="13.5" customHeight="1" s="28"/>
    <row r="821" ht="13.5" customHeight="1" s="28"/>
    <row r="822" ht="13.5" customHeight="1" s="28"/>
    <row r="823" ht="13.5" customHeight="1" s="28"/>
    <row r="824" ht="13.5" customHeight="1" s="28"/>
    <row r="825" ht="13.5" customHeight="1" s="28"/>
    <row r="826" ht="13.5" customHeight="1" s="28"/>
    <row r="827" ht="13.5" customHeight="1" s="28"/>
    <row r="828" ht="13.5" customHeight="1" s="28"/>
    <row r="829" ht="13.5" customHeight="1" s="28"/>
    <row r="830" ht="13.5" customHeight="1" s="28"/>
    <row r="831" ht="13.5" customHeight="1" s="28"/>
    <row r="832" ht="13.5" customHeight="1" s="28"/>
    <row r="833" ht="13.5" customHeight="1" s="28"/>
    <row r="834" ht="13.5" customHeight="1" s="28"/>
    <row r="835" ht="13.5" customHeight="1" s="28"/>
    <row r="836" ht="13.5" customHeight="1" s="28"/>
    <row r="837" ht="13.5" customHeight="1" s="28"/>
    <row r="838" ht="13.5" customHeight="1" s="28"/>
    <row r="839" ht="13.5" customHeight="1" s="28"/>
    <row r="840" ht="13.5" customHeight="1" s="28"/>
    <row r="841" ht="13.5" customHeight="1" s="28"/>
    <row r="842" ht="13.5" customHeight="1" s="28"/>
    <row r="843" ht="13.5" customHeight="1" s="28"/>
    <row r="844" ht="13.5" customHeight="1" s="28"/>
    <row r="845" ht="13.5" customHeight="1" s="28"/>
    <row r="846" ht="13.5" customHeight="1" s="28"/>
    <row r="847" ht="13.5" customHeight="1" s="28"/>
    <row r="848" ht="13.5" customHeight="1" s="28"/>
    <row r="849" ht="13.5" customHeight="1" s="28"/>
    <row r="850" ht="13.5" customHeight="1" s="28"/>
    <row r="851" ht="13.5" customHeight="1" s="28"/>
    <row r="852" ht="13.5" customHeight="1" s="28"/>
    <row r="853" ht="13.5" customHeight="1" s="28"/>
    <row r="854" ht="13.5" customHeight="1" s="28"/>
    <row r="855" ht="13.5" customHeight="1" s="28"/>
    <row r="856" ht="13.5" customHeight="1" s="28"/>
    <row r="857" ht="13.5" customHeight="1" s="28"/>
    <row r="858" ht="13.5" customHeight="1" s="28"/>
    <row r="859" ht="13.5" customHeight="1" s="28"/>
    <row r="860" ht="13.5" customHeight="1" s="28"/>
    <row r="861" ht="13.5" customHeight="1" s="28"/>
    <row r="862" ht="13.5" customHeight="1" s="28"/>
    <row r="863" ht="13.5" customHeight="1" s="28"/>
    <row r="864" ht="13.5" customHeight="1" s="28"/>
    <row r="865" ht="13.5" customHeight="1" s="28"/>
    <row r="866" ht="13.5" customHeight="1" s="28"/>
    <row r="867" ht="13.5" customHeight="1" s="28"/>
    <row r="868" ht="13.5" customHeight="1" s="28"/>
    <row r="869" ht="13.5" customHeight="1" s="28"/>
    <row r="870" ht="13.5" customHeight="1" s="28"/>
    <row r="871" ht="13.5" customHeight="1" s="28"/>
    <row r="872" ht="13.5" customHeight="1" s="28"/>
    <row r="873" ht="13.5" customHeight="1" s="28"/>
    <row r="874" ht="13.5" customHeight="1" s="28"/>
    <row r="875" ht="13.5" customHeight="1" s="28"/>
    <row r="876" ht="13.5" customHeight="1" s="28"/>
    <row r="877" ht="13.5" customHeight="1" s="28"/>
    <row r="878" ht="13.5" customHeight="1" s="28"/>
    <row r="879" ht="13.5" customHeight="1" s="28"/>
    <row r="880" ht="13.5" customHeight="1" s="28"/>
    <row r="881" ht="13.5" customHeight="1" s="28"/>
    <row r="882" ht="13.5" customHeight="1" s="28"/>
    <row r="883" ht="13.5" customHeight="1" s="28"/>
    <row r="884" ht="13.5" customHeight="1" s="28"/>
    <row r="885" ht="13.5" customHeight="1" s="28"/>
    <row r="886" ht="13.5" customHeight="1" s="28"/>
    <row r="887" ht="13.5" customHeight="1" s="28"/>
    <row r="888" ht="13.5" customHeight="1" s="28"/>
    <row r="889" ht="13.5" customHeight="1" s="28"/>
    <row r="890" ht="13.5" customHeight="1" s="28"/>
    <row r="891" ht="13.5" customHeight="1" s="28"/>
    <row r="892" ht="13.5" customHeight="1" s="28"/>
    <row r="893" ht="13.5" customHeight="1" s="28"/>
    <row r="894" ht="13.5" customHeight="1" s="28"/>
    <row r="895" ht="13.5" customHeight="1" s="28"/>
    <row r="896" ht="13.5" customHeight="1" s="28"/>
    <row r="897" ht="13.5" customHeight="1" s="28"/>
    <row r="898" ht="13.5" customHeight="1" s="28"/>
    <row r="899" ht="13.5" customHeight="1" s="28"/>
    <row r="900" ht="13.5" customHeight="1" s="28"/>
    <row r="901" ht="13.5" customHeight="1" s="28"/>
    <row r="902" ht="13.5" customHeight="1" s="28"/>
    <row r="903" ht="13.5" customHeight="1" s="28"/>
    <row r="904" ht="13.5" customHeight="1" s="28"/>
    <row r="905" ht="13.5" customHeight="1" s="28"/>
    <row r="906" ht="13.5" customHeight="1" s="28"/>
    <row r="907" ht="13.5" customHeight="1" s="28"/>
    <row r="908" ht="13.5" customHeight="1" s="28"/>
    <row r="909" ht="13.5" customHeight="1" s="28"/>
    <row r="910" ht="13.5" customHeight="1" s="28"/>
    <row r="911" ht="13.5" customHeight="1" s="28"/>
    <row r="912" ht="13.5" customHeight="1" s="28"/>
    <row r="913" ht="13.5" customHeight="1" s="28"/>
    <row r="914" ht="13.5" customHeight="1" s="28"/>
    <row r="915" ht="13.5" customHeight="1" s="28"/>
    <row r="916" ht="13.5" customHeight="1" s="28"/>
    <row r="917" ht="13.5" customHeight="1" s="28"/>
    <row r="918" ht="13.5" customHeight="1" s="28"/>
    <row r="919" ht="13.5" customHeight="1" s="28"/>
    <row r="920" ht="13.5" customHeight="1" s="28"/>
    <row r="921" ht="13.5" customHeight="1" s="28"/>
    <row r="922" ht="13.5" customHeight="1" s="28"/>
    <row r="923" ht="13.5" customHeight="1" s="28"/>
    <row r="924" ht="13.5" customHeight="1" s="28"/>
    <row r="925" ht="13.5" customHeight="1" s="28"/>
    <row r="926" ht="13.5" customHeight="1" s="28"/>
    <row r="927" ht="13.5" customHeight="1" s="28"/>
    <row r="928" ht="13.5" customHeight="1" s="28"/>
    <row r="929" ht="13.5" customHeight="1" s="28"/>
    <row r="930" ht="13.5" customHeight="1" s="28"/>
    <row r="931" ht="13.5" customHeight="1" s="28"/>
    <row r="932" ht="13.5" customHeight="1" s="28"/>
    <row r="933" ht="13.5" customHeight="1" s="28"/>
    <row r="934" ht="13.5" customHeight="1" s="28"/>
    <row r="935" ht="13.5" customHeight="1" s="28"/>
    <row r="936" ht="13.5" customHeight="1" s="28"/>
    <row r="937" ht="13.5" customHeight="1" s="28"/>
    <row r="938" ht="13.5" customHeight="1" s="28"/>
    <row r="939" ht="13.5" customHeight="1" s="28"/>
    <row r="940" ht="13.5" customHeight="1" s="28"/>
    <row r="941" ht="13.5" customHeight="1" s="28"/>
    <row r="942" ht="13.5" customHeight="1" s="28"/>
    <row r="943" ht="13.5" customHeight="1" s="28"/>
    <row r="944" ht="13.5" customHeight="1" s="28"/>
    <row r="945" ht="13.5" customHeight="1" s="28"/>
    <row r="946" ht="13.5" customHeight="1" s="28"/>
    <row r="947" ht="13.5" customHeight="1" s="28"/>
    <row r="948" ht="13.5" customHeight="1" s="28"/>
    <row r="949" ht="13.5" customHeight="1" s="28"/>
    <row r="950" ht="13.5" customHeight="1" s="28"/>
    <row r="951" ht="13.5" customHeight="1" s="28"/>
    <row r="952" ht="13.5" customHeight="1" s="28"/>
    <row r="953" ht="13.5" customHeight="1" s="28"/>
    <row r="954" ht="13.5" customHeight="1" s="28"/>
    <row r="955" ht="13.5" customHeight="1" s="28"/>
    <row r="956" ht="13.5" customHeight="1" s="28"/>
    <row r="957" ht="13.5" customHeight="1" s="28"/>
    <row r="958" ht="13.5" customHeight="1" s="28"/>
    <row r="959" ht="13.5" customHeight="1" s="28"/>
    <row r="960" ht="13.5" customHeight="1" s="28"/>
    <row r="961" ht="13.5" customHeight="1" s="28"/>
    <row r="962" ht="13.5" customHeight="1" s="28"/>
    <row r="963" ht="13.5" customHeight="1" s="28"/>
    <row r="964" ht="13.5" customHeight="1" s="28"/>
    <row r="965" ht="13.5" customHeight="1" s="28"/>
    <row r="966" ht="13.5" customHeight="1" s="28"/>
    <row r="967" ht="13.5" customHeight="1" s="28"/>
    <row r="968" ht="13.5" customHeight="1" s="28"/>
    <row r="969" ht="13.5" customHeight="1" s="28"/>
    <row r="970" ht="13.5" customHeight="1" s="28"/>
    <row r="971" ht="13.5" customHeight="1" s="28"/>
    <row r="972" ht="13.5" customHeight="1" s="28"/>
    <row r="973" ht="13.5" customHeight="1" s="28"/>
    <row r="974" ht="13.5" customHeight="1" s="28"/>
    <row r="975" ht="13.5" customHeight="1" s="28"/>
    <row r="976" ht="13.5" customHeight="1" s="28"/>
    <row r="977" ht="13.5" customHeight="1" s="28"/>
    <row r="978" ht="13.5" customHeight="1" s="28"/>
    <row r="979" ht="13.5" customHeight="1" s="28"/>
    <row r="980" ht="13.5" customHeight="1" s="28"/>
    <row r="981" ht="13.5" customHeight="1" s="28"/>
    <row r="982" ht="13.5" customHeight="1" s="28"/>
    <row r="983" ht="13.5" customHeight="1" s="28"/>
    <row r="984" ht="13.5" customHeight="1" s="28"/>
    <row r="985" ht="13.5" customHeight="1" s="28"/>
    <row r="986" ht="13.5" customHeight="1" s="28"/>
    <row r="987" ht="13.5" customHeight="1" s="28"/>
    <row r="988" ht="13.5" customHeight="1" s="28"/>
    <row r="989" ht="13.5" customHeight="1" s="28"/>
    <row r="990" ht="13.5" customHeight="1" s="28"/>
    <row r="991" ht="13.5" customHeight="1" s="28"/>
    <row r="992" ht="13.5" customHeight="1" s="28"/>
    <row r="993" ht="13.5" customHeight="1" s="28"/>
    <row r="994" ht="13.5" customHeight="1" s="28"/>
    <row r="995" ht="13.5" customHeight="1" s="28"/>
    <row r="996" ht="13.5" customHeight="1" s="28"/>
    <row r="997" ht="13.5" customHeight="1" s="28"/>
    <row r="998" ht="13.5" customHeight="1" s="28"/>
    <row r="999" ht="13.5" customHeight="1" s="28"/>
    <row r="1000" ht="13.5" customHeight="1" s="28"/>
  </sheetData>
  <mergeCells count="2">
    <mergeCell ref="A2:G2"/>
    <mergeCell ref="A1:G1"/>
  </mergeCells>
  <conditionalFormatting sqref="C14:E27">
    <cfRule type="colorScale" priority="1">
      <colorScale>
        <cfvo type="min"/>
        <cfvo type="percentile" val="50"/>
        <cfvo type="max"/>
        <color rgb="FFF4CCCC"/>
        <color rgb="FFFFE599"/>
        <color rgb="FFB6D7A8"/>
      </colorScale>
    </cfRule>
  </conditionalFormatting>
  <conditionalFormatting sqref="F14:F27">
    <cfRule type="expression" priority="2" dxfId="4">
      <formula>F14="Done"</formula>
    </cfRule>
    <cfRule type="expression" priority="3" dxfId="5">
      <formula>F14="In review"</formula>
    </cfRule>
    <cfRule type="expression" priority="4" dxfId="6">
      <formula>F14="In progress"</formula>
    </cfRule>
    <cfRule type="expression" priority="5" dxfId="7">
      <formula>F14="Blocked"</formula>
    </cfRule>
    <cfRule type="expression" priority="6" dxfId="8">
      <formula>F14="Planned"</formula>
    </cfRule>
  </conditionalFormatting>
  <dataValidations count="1">
    <dataValidation sqref="F14:F27" showDropDown="0" showInputMessage="0" showErrorMessage="0" allowBlank="1" type="list">
      <formula1>"Done,In progress,In review,Planned,Blocked"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style="28" min="1" max="1"/>
    <col width="24" customWidth="1" style="28" min="2" max="2"/>
    <col width="18" customWidth="1" style="28" min="3" max="3"/>
    <col width="49" customWidth="1" style="28" min="4" max="4"/>
    <col width="45" customWidth="1" style="28" min="5" max="5"/>
    <col width="22" customWidth="1" style="28" min="6" max="6"/>
    <col width="58" customWidth="1" style="28" min="7" max="7"/>
  </cols>
  <sheetData>
    <row r="1" ht="28" customHeight="1" s="28">
      <c r="A1" s="30" t="inlineStr">
        <is>
          <t>A44 R2 Verification Status and Governing PASS Basis</t>
        </is>
      </c>
    </row>
    <row r="2" ht="32" customHeight="1" s="28">
      <c r="A2" s="31" t="inlineStr">
        <is>
          <t>Updated 2026-07-28. Execution completeness, method/integrity PASS, performance PASS, promotion, and signoff are separate conclusions.</t>
        </is>
      </c>
    </row>
    <row r="4">
      <c r="A4" s="32" t="inlineStr">
        <is>
          <t>Evidence set</t>
        </is>
      </c>
      <c r="B4" s="32" t="inlineStr">
        <is>
          <t>Role</t>
        </is>
      </c>
      <c r="C4" s="32" t="inlineStr">
        <is>
          <t>Completion</t>
        </is>
      </c>
      <c r="D4" s="32" t="inlineStr">
        <is>
          <t>Governing qualification basis</t>
        </is>
      </c>
      <c r="E4" s="32" t="inlineStr">
        <is>
          <t>Current evidence</t>
        </is>
      </c>
      <c r="F4" s="32" t="inlineStr">
        <is>
          <t>Disposition</t>
        </is>
      </c>
      <c r="G4" s="32" t="inlineStr">
        <is>
          <t>Authoritative path</t>
        </is>
      </c>
    </row>
    <row r="5" ht="66" customHeight="1" s="28">
      <c r="A5" s="33" t="inlineStr">
        <is>
          <t>FULL255 static</t>
        </is>
      </c>
      <c r="B5" s="33" t="inlineStr">
        <is>
          <t>Performance qualification</t>
        </is>
      </c>
      <c r="C5" s="33" t="inlineStr">
        <is>
          <t>6 unique curves; 1 governing</t>
        </is>
      </c>
      <c r="D5" s="33" t="inlineStr">
        <is>
          <t>Seed 44 TT only (S044_TT). PVT and other TT seeds are diagnostic-only.</t>
        </is>
      </c>
      <c r="E5" s="33" t="inlineStr">
        <is>
          <t>S044_TT: max |DNL| 0.610351 LSB; max |INL| 0.686645 LSB; missing 0; reversals 0.</t>
        </is>
      </c>
      <c r="F5" s="34" t="inlineStr">
        <is>
          <t>PASS</t>
        </is>
      </c>
      <c r="G5" s="33" t="inlineStr">
        <is>
          <t>verification/a44_r2/02_SIMULATION_RESULTS/03_FULL255_STATIC</t>
        </is>
      </c>
    </row>
    <row r="6" ht="66" customHeight="1" s="28">
      <c r="A6" s="35" t="inlineStr">
        <is>
          <t>MC200 TT LOW/W4</t>
        </is>
      </c>
      <c r="B6" s="35" t="inlineStr">
        <is>
          <t>Performance qualification</t>
        </is>
      </c>
      <c r="C6" s="35" t="inlineStr">
        <is>
          <t>200/200</t>
        </is>
      </c>
      <c r="D6" s="35" t="inlineStr">
        <is>
          <t>FAST64_SS_W4, TT/3.3 V/27 C, 50 ps, formal frames 4-67. Unresolved hard failures are not waived by PVT.</t>
        </is>
      </c>
      <c r="E6" s="35" t="inlineStr">
        <is>
          <t>197 hard-dynamic PASS; 3 FAIL: Seeds 65, 68, 141.</t>
        </is>
      </c>
      <c r="F6" s="36" t="inlineStr">
        <is>
          <t>FAIL / NO PROMOTION</t>
        </is>
      </c>
      <c r="G6" s="35" t="inlineStr">
        <is>
          <t>verification/a44_r2/02_SIMULATION_RESULTS/01_MC200_TT_LOW_W4</t>
        </is>
      </c>
    </row>
    <row r="7" ht="66" customHeight="1" s="28">
      <c r="A7" s="33" t="inlineStr">
        <is>
          <t>PVT3 selected MC20 LOW/W4</t>
        </is>
      </c>
      <c r="B7" s="33" t="inlineStr">
        <is>
          <t>Diagnostic</t>
        </is>
      </c>
      <c r="C7" s="33" t="inlineStr">
        <is>
          <t>60/60</t>
        </is>
      </c>
      <c r="D7" s="33" t="inlineStr">
        <is>
          <t>Diagnostic-only; not a PASS, yield, promotion, or signoff basis.</t>
        </is>
      </c>
      <c r="E7" s="33" t="inlineStr">
        <is>
          <t>TT 19/20; SS 20/20; FF 20/20 hard-dynamic PASS.</t>
        </is>
      </c>
      <c r="F7" s="37" t="inlineStr">
        <is>
          <t>DIAGNOSTIC ONLY</t>
        </is>
      </c>
      <c r="G7" s="33" t="inlineStr">
        <is>
          <t>verification/a44_r2/02_SIMULATION_RESULTS/02_PVT3_MC20_LOW_W4</t>
        </is>
      </c>
    </row>
    <row r="8" ht="66" customHeight="1" s="28">
      <c r="A8" s="35" t="inlineStr">
        <is>
          <t>CACE preflight</t>
        </is>
      </c>
      <c r="B8" s="35" t="inlineStr">
        <is>
          <t>Tool-chain verification</t>
        </is>
      </c>
      <c r="C8" s="35" t="inlineStr">
        <is>
          <t>1/1</t>
        </is>
      </c>
      <c r="D8" s="35" t="inlineStr">
        <is>
          <t>Validates the packaged Xschem-to-ngspice path; does not imply ADC performance PASS.</t>
        </is>
      </c>
      <c r="E8" s="35" t="inlineStr">
        <is>
          <t>final_v = 1.250 V within 1.249-1.251 V.</t>
        </is>
      </c>
      <c r="F8" s="34" t="inlineStr">
        <is>
          <t>PASS (METHOD)</t>
        </is>
      </c>
      <c r="G8" s="35" t="inlineStr">
        <is>
          <t>verification/a44_r2/03_CACE_AND_SIMULATION_TOOLS</t>
        </is>
      </c>
    </row>
    <row r="9" ht="66" customHeight="1" s="28">
      <c r="A9" s="33" t="inlineStr">
        <is>
          <t>Quick reproducibility</t>
        </is>
      </c>
      <c r="B9" s="33" t="inlineStr">
        <is>
          <t>Reproducibility</t>
        </is>
      </c>
      <c r="C9" s="33" t="inlineStr">
        <is>
          <t>130/130</t>
        </is>
      </c>
      <c r="D9" s="33" t="inlineStr">
        <is>
          <t>Exact reproduction of selected frozen comparisons; does not change performance disposition.</t>
        </is>
      </c>
      <c r="E9" s="33" t="inlineStr">
        <is>
          <t>25 MC200 + 75 PVT3 + 30 FULL255 records match.</t>
        </is>
      </c>
      <c r="F9" s="34" t="inlineStr">
        <is>
          <t>PASS (REPRO)</t>
        </is>
      </c>
      <c r="G9" s="33" t="inlineStr">
        <is>
          <t>verification/a44_r2/02_SIMULATION_RESULTS/06_RUN_OUTPUTS</t>
        </is>
      </c>
    </row>
    <row r="10" ht="66" customHeight="1" s="28">
      <c r="A10" s="35" t="inlineStr">
        <is>
          <t>Package manifest</t>
        </is>
      </c>
      <c r="B10" s="35" t="inlineStr">
        <is>
          <t>Integrity</t>
        </is>
      </c>
      <c r="C10" s="35" t="inlineStr">
        <is>
          <t>4,846 records</t>
        </is>
      </c>
      <c r="D10" s="35" t="inlineStr">
        <is>
          <t>File presence and SHA-256 equality only; not performance PASS.</t>
        </is>
      </c>
      <c r="E10" s="35" t="inlineStr">
        <is>
          <t>Zero mismatches on fresh-checkout readback.</t>
        </is>
      </c>
      <c r="F10" s="34" t="inlineStr">
        <is>
          <t>PASS (INTEGRITY)</t>
        </is>
      </c>
      <c r="G10" s="35" t="inlineStr">
        <is>
          <t>verification/a44_r2/05_PACKAGE_AUDIT</t>
        </is>
      </c>
    </row>
    <row r="12">
      <c r="A12" s="38" t="inlineStr">
        <is>
          <t>Performance Snapshot</t>
        </is>
      </c>
    </row>
    <row r="13">
      <c r="A13" s="32" t="inlineStr">
        <is>
          <t>Metric</t>
        </is>
      </c>
      <c r="B13" s="32" t="inlineStr">
        <is>
          <t>Value</t>
        </is>
      </c>
      <c r="C13" s="32" t="inlineStr">
        <is>
          <t>Acceptance / interpretation</t>
        </is>
      </c>
      <c r="D13" s="32" t="inlineStr">
        <is>
          <t>Qualification use</t>
        </is>
      </c>
    </row>
    <row r="14" ht="42" customHeight="1" s="28">
      <c r="A14" s="35" t="inlineStr">
        <is>
          <t>S044_TT max |DNL|</t>
        </is>
      </c>
      <c r="B14" s="35" t="n">
        <v>0.610351</v>
      </c>
      <c r="C14" s="35" t="inlineStr">
        <is>
          <t>&lt; 1 LSB</t>
        </is>
      </c>
      <c r="D14" s="35" t="inlineStr">
        <is>
          <t>Governing FULL255 PASS metric</t>
        </is>
      </c>
    </row>
    <row r="15" ht="42" customHeight="1" s="28">
      <c r="A15" s="33" t="inlineStr">
        <is>
          <t>S044_TT max |INL|</t>
        </is>
      </c>
      <c r="B15" s="33" t="n">
        <v>0.6866449999999999</v>
      </c>
      <c r="C15" s="33" t="inlineStr">
        <is>
          <t>&lt; 1.5 LSB</t>
        </is>
      </c>
      <c r="D15" s="33" t="inlineStr">
        <is>
          <t>Governing FULL255 PASS metric</t>
        </is>
      </c>
    </row>
    <row r="16" ht="42" customHeight="1" s="28">
      <c r="A16" s="35" t="inlineStr">
        <is>
          <t>S044_TT missing codes / reversals</t>
        </is>
      </c>
      <c r="B16" s="35" t="inlineStr">
        <is>
          <t>0 / 0</t>
        </is>
      </c>
      <c r="C16" s="35" t="inlineStr">
        <is>
          <t>0 / 0</t>
        </is>
      </c>
      <c r="D16" s="35" t="inlineStr">
        <is>
          <t>Governing FULL255 PASS metric</t>
        </is>
      </c>
    </row>
    <row r="17" ht="42" customHeight="1" s="28">
      <c r="A17" s="33" t="inlineStr">
        <is>
          <t>MC200 hard-dynamic result</t>
        </is>
      </c>
      <c r="B17" s="33" t="inlineStr">
        <is>
          <t>197 PASS / 3 FAIL</t>
        </is>
      </c>
      <c r="C17" s="33" t="inlineStr">
        <is>
          <t>No unresolved hard-dynamic failures</t>
        </is>
      </c>
      <c r="D17" s="33" t="inlineStr">
        <is>
          <t>Current performance blocker</t>
        </is>
      </c>
    </row>
    <row r="18" ht="42" customHeight="1" s="28">
      <c r="A18" s="35" t="inlineStr">
        <is>
          <t>MC200 SNDR P1 / P5 / P10 / P50</t>
        </is>
      </c>
      <c r="B18" s="35" t="inlineStr">
        <is>
          <t>46.8729 / 47.2961 / 47.4636 / 48.4065 dB</t>
        </is>
      </c>
      <c r="C18" s="35" t="inlineStr">
        <is>
          <t>Population summary; percentiles do not override record failures</t>
        </is>
      </c>
      <c r="D18" s="35" t="inlineStr">
        <is>
          <t>Supporting metric</t>
        </is>
      </c>
    </row>
    <row r="19" ht="42" customHeight="1" s="28">
      <c r="A19" s="33" t="inlineStr">
        <is>
          <t>PVT3 selected MC20</t>
        </is>
      </c>
      <c r="B19" s="33" t="inlineStr">
        <is>
          <t>TT 19/20; SS 20/20; FF 20/20</t>
        </is>
      </c>
      <c r="C19" s="33" t="inlineStr">
        <is>
          <t>Diagnostic-only</t>
        </is>
      </c>
      <c r="D19" s="33" t="inlineStr">
        <is>
          <t>Not a PASS basis</t>
        </is>
      </c>
    </row>
    <row r="21" ht="58" customHeight="1" s="28">
      <c r="A21" s="39" t="inlineStr">
        <is>
          <t>Current project disposition: COMPLETE AS EXECUTED / PERFORMANCE FAIL / NO PROMOTION. The blocker is the three MC200 hard-dynamic failures. FULL255 passes on S044_TT; PVT is diagnostic-only. No layout, full-chip PEX, silicon, tapeout, or production-yield signoff is claimed.</t>
        </is>
      </c>
    </row>
  </sheetData>
  <autoFilter ref="A4:G10"/>
  <mergeCells count="4">
    <mergeCell ref="A21:G21"/>
    <mergeCell ref="A2:G2"/>
    <mergeCell ref="A1:G1"/>
    <mergeCell ref="A12:G12"/>
  </mergeCells>
  <pageMargins left="0.75" right="0.75" top="1" bottom="1" header="0.5" footer="0.5"/>
  <pageSetup orientation="landscape" fitToHeight="0" fitToWidth="1"/>
  <headerFooter>
    <oddHeader/>
    <oddFooter>&amp;CA44 SAR ADC - Updated 2026-07-28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A44 SAR ADC Project Tracker</dc:title>
  <dc:description xmlns:dc="http://purl.org/dc/elements/1.1/">Updated 2026-07-28. FULL255 qualification uses Seed 44 TT only; PVT is diagnostic-only; MC200 has three unresolved hard-dynamic failures.</dc:description>
  <dc:subject xmlns:dc="http://purl.org/dc/elements/1.1/">Current project progress, verification status, and governing PASS criteria</dc:subject>
  <dcterms:created xmlns:dcterms="http://purl.org/dc/terms/" xmlns:xsi="http://www.w3.org/2001/XMLSchema-instance" xsi:type="dcterms:W3CDTF">2026-07-28T19:41:01Z</dcterms:created>
  <dcterms:modified xmlns:dcterms="http://purl.org/dc/terms/" xmlns:xsi="http://www.w3.org/2001/XMLSchema-instance" xsi:type="dcterms:W3CDTF">2026-07-28T19:41:01Z</dcterms:modified>
</cp:coreProperties>
</file>